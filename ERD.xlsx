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iverseDigitalSolution\event\"/>
    </mc:Choice>
  </mc:AlternateContent>
  <xr:revisionPtr revIDLastSave="0" documentId="13_ncr:1_{863F9433-FB2E-479D-B64C-E2D096F70B5A}" xr6:coauthVersionLast="47" xr6:coauthVersionMax="47" xr10:uidLastSave="{00000000-0000-0000-0000-000000000000}"/>
  <bookViews>
    <workbookView xWindow="-110" yWindow="-110" windowWidth="19420" windowHeight="11500" firstSheet="5" activeTab="7" xr2:uid="{276B6887-1D7B-418D-9E61-9319B0CD5ABF}"/>
  </bookViews>
  <sheets>
    <sheet name="GLOBAL_CONFIG" sheetId="1" r:id="rId1"/>
    <sheet name="EVENT" sheetId="3" r:id="rId2"/>
    <sheet name="Attendance" sheetId="2" r:id="rId3"/>
    <sheet name="DoorPrice" sheetId="4" r:id="rId4"/>
    <sheet name="CMS Event UI Mockup" sheetId="5" r:id="rId5"/>
    <sheet name="CMS Attendance Mockup" sheetId="6" r:id="rId6"/>
    <sheet name="CMS Doorprice Mockup" sheetId="7" r:id="rId7"/>
    <sheet name="UI Invitation" sheetId="8" r:id="rId8"/>
  </sheets>
  <externalReferences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4" l="1"/>
  <c r="H14" i="4"/>
  <c r="G14" i="4"/>
  <c r="F14" i="4"/>
  <c r="E14" i="4"/>
  <c r="D14" i="4"/>
  <c r="C14" i="4"/>
  <c r="B14" i="4"/>
  <c r="A14" i="4"/>
  <c r="I13" i="4"/>
  <c r="H13" i="4"/>
  <c r="G13" i="4"/>
  <c r="F13" i="4"/>
  <c r="E13" i="4"/>
  <c r="D13" i="4"/>
  <c r="C13" i="4"/>
  <c r="B13" i="4"/>
  <c r="A13" i="4"/>
  <c r="I12" i="4"/>
  <c r="H12" i="4"/>
  <c r="G12" i="4"/>
  <c r="F12" i="4"/>
  <c r="E12" i="4"/>
  <c r="D12" i="4"/>
  <c r="C12" i="4"/>
  <c r="B12" i="4"/>
  <c r="A12" i="4"/>
  <c r="I11" i="4"/>
  <c r="H11" i="4"/>
  <c r="G11" i="4"/>
  <c r="F11" i="4"/>
  <c r="E11" i="4"/>
  <c r="D11" i="4"/>
  <c r="C11" i="4"/>
  <c r="B11" i="4"/>
  <c r="A11" i="4"/>
  <c r="I10" i="4"/>
  <c r="H10" i="4"/>
  <c r="G10" i="4"/>
  <c r="F10" i="4"/>
  <c r="E10" i="4"/>
  <c r="D10" i="4"/>
  <c r="C10" i="4"/>
  <c r="B10" i="4"/>
  <c r="A10" i="4"/>
  <c r="I9" i="4"/>
  <c r="H9" i="4"/>
  <c r="G9" i="4"/>
  <c r="F9" i="4"/>
  <c r="E9" i="4"/>
  <c r="D9" i="4"/>
  <c r="C9" i="4"/>
  <c r="B9" i="4"/>
  <c r="A9" i="4"/>
  <c r="I8" i="4"/>
  <c r="H8" i="4"/>
  <c r="G8" i="4"/>
  <c r="F8" i="4"/>
  <c r="E8" i="4"/>
  <c r="D8" i="4"/>
  <c r="C8" i="4"/>
  <c r="B8" i="4"/>
  <c r="A8" i="4"/>
  <c r="I7" i="4"/>
  <c r="H7" i="4"/>
  <c r="G7" i="4"/>
  <c r="F7" i="4"/>
  <c r="E7" i="4"/>
  <c r="D7" i="4"/>
  <c r="C7" i="4"/>
  <c r="B7" i="4"/>
  <c r="A7" i="4"/>
  <c r="I6" i="4"/>
  <c r="H6" i="4"/>
  <c r="G6" i="4"/>
  <c r="F6" i="4"/>
  <c r="E6" i="4"/>
  <c r="D6" i="4"/>
  <c r="C6" i="4"/>
  <c r="B6" i="4"/>
  <c r="A6" i="4"/>
  <c r="I13" i="3"/>
  <c r="H13" i="3"/>
  <c r="G13" i="3"/>
  <c r="F13" i="3"/>
  <c r="E13" i="3"/>
  <c r="D13" i="3"/>
  <c r="C13" i="3"/>
  <c r="B13" i="3"/>
  <c r="A13" i="3"/>
  <c r="I12" i="3"/>
  <c r="H12" i="3"/>
  <c r="G12" i="3"/>
  <c r="F12" i="3"/>
  <c r="E12" i="3"/>
  <c r="D12" i="3"/>
  <c r="C12" i="3"/>
  <c r="B12" i="3"/>
  <c r="A12" i="3"/>
  <c r="I11" i="3"/>
  <c r="H11" i="3"/>
  <c r="G11" i="3"/>
  <c r="F11" i="3"/>
  <c r="E11" i="3"/>
  <c r="D11" i="3"/>
  <c r="C11" i="3"/>
  <c r="B11" i="3"/>
  <c r="A11" i="3"/>
  <c r="I10" i="3"/>
  <c r="H10" i="3"/>
  <c r="G10" i="3"/>
  <c r="F10" i="3"/>
  <c r="E10" i="3"/>
  <c r="D10" i="3"/>
  <c r="C10" i="3"/>
  <c r="B10" i="3"/>
  <c r="A10" i="3"/>
  <c r="I9" i="3"/>
  <c r="H9" i="3"/>
  <c r="G9" i="3"/>
  <c r="F9" i="3"/>
  <c r="E9" i="3"/>
  <c r="D9" i="3"/>
  <c r="C9" i="3"/>
  <c r="B9" i="3"/>
  <c r="A9" i="3"/>
  <c r="I8" i="3"/>
  <c r="H8" i="3"/>
  <c r="G8" i="3"/>
  <c r="F8" i="3"/>
  <c r="E8" i="3"/>
  <c r="D8" i="3"/>
  <c r="C8" i="3"/>
  <c r="B8" i="3"/>
  <c r="A8" i="3"/>
  <c r="I7" i="3"/>
  <c r="H7" i="3"/>
  <c r="G7" i="3"/>
  <c r="F7" i="3"/>
  <c r="E7" i="3"/>
  <c r="D7" i="3"/>
  <c r="C7" i="3"/>
  <c r="B7" i="3"/>
  <c r="A7" i="3"/>
  <c r="I6" i="3"/>
  <c r="H6" i="3"/>
  <c r="G6" i="3"/>
  <c r="F6" i="3"/>
  <c r="E6" i="3"/>
  <c r="D6" i="3"/>
  <c r="C6" i="3"/>
  <c r="B6" i="3"/>
  <c r="A6" i="3"/>
  <c r="I14" i="2"/>
  <c r="H14" i="2"/>
  <c r="G14" i="2"/>
  <c r="F14" i="2"/>
  <c r="E14" i="2"/>
  <c r="D14" i="2"/>
  <c r="C14" i="2"/>
  <c r="B14" i="2"/>
  <c r="A14" i="2"/>
  <c r="I13" i="2"/>
  <c r="H13" i="2"/>
  <c r="G13" i="2"/>
  <c r="F13" i="2"/>
  <c r="E13" i="2"/>
  <c r="D13" i="2"/>
  <c r="C13" i="2"/>
  <c r="B13" i="2"/>
  <c r="A13" i="2"/>
  <c r="I12" i="2"/>
  <c r="H12" i="2"/>
  <c r="G12" i="2"/>
  <c r="F12" i="2"/>
  <c r="E12" i="2"/>
  <c r="D12" i="2"/>
  <c r="C12" i="2"/>
  <c r="B12" i="2"/>
  <c r="A12" i="2"/>
  <c r="I11" i="2"/>
  <c r="H11" i="2"/>
  <c r="G11" i="2"/>
  <c r="F11" i="2"/>
  <c r="E11" i="2"/>
  <c r="D11" i="2"/>
  <c r="C11" i="2"/>
  <c r="B11" i="2"/>
  <c r="A11" i="2"/>
  <c r="I10" i="2"/>
  <c r="H10" i="2"/>
  <c r="G10" i="2"/>
  <c r="F10" i="2"/>
  <c r="E10" i="2"/>
  <c r="D10" i="2"/>
  <c r="C10" i="2"/>
  <c r="B10" i="2"/>
  <c r="A10" i="2"/>
  <c r="I9" i="2"/>
  <c r="H9" i="2"/>
  <c r="G9" i="2"/>
  <c r="F9" i="2"/>
  <c r="E9" i="2"/>
  <c r="D9" i="2"/>
  <c r="C9" i="2"/>
  <c r="B9" i="2"/>
  <c r="A9" i="2"/>
  <c r="I8" i="2"/>
  <c r="H8" i="2"/>
  <c r="G8" i="2"/>
  <c r="F8" i="2"/>
  <c r="E8" i="2"/>
  <c r="D8" i="2"/>
  <c r="C8" i="2"/>
  <c r="B8" i="2"/>
  <c r="A8" i="2"/>
  <c r="I7" i="2"/>
  <c r="H7" i="2"/>
  <c r="G7" i="2"/>
  <c r="F7" i="2"/>
  <c r="E7" i="2"/>
  <c r="D7" i="2"/>
  <c r="C7" i="2"/>
  <c r="B7" i="2"/>
  <c r="A7" i="2"/>
  <c r="I6" i="2"/>
  <c r="H6" i="2"/>
  <c r="G6" i="2"/>
  <c r="F6" i="2"/>
  <c r="E6" i="2"/>
  <c r="D6" i="2"/>
  <c r="C6" i="2"/>
  <c r="B6" i="2"/>
  <c r="A6" i="2"/>
  <c r="I14" i="1"/>
  <c r="H14" i="1"/>
  <c r="G14" i="1"/>
  <c r="F14" i="1"/>
  <c r="E14" i="1"/>
  <c r="D14" i="1"/>
  <c r="C14" i="1"/>
  <c r="B14" i="1"/>
  <c r="A14" i="1"/>
  <c r="I13" i="1"/>
  <c r="H13" i="1"/>
  <c r="G13" i="1"/>
  <c r="F13" i="1"/>
  <c r="E13" i="1"/>
  <c r="D13" i="1"/>
  <c r="C13" i="1"/>
  <c r="B13" i="1"/>
  <c r="A13" i="1"/>
  <c r="I12" i="1"/>
  <c r="H12" i="1"/>
  <c r="G12" i="1"/>
  <c r="F12" i="1"/>
  <c r="E12" i="1"/>
  <c r="D12" i="1"/>
  <c r="C12" i="1"/>
  <c r="B12" i="1"/>
  <c r="A12" i="1"/>
  <c r="I11" i="1"/>
  <c r="H11" i="1"/>
  <c r="G11" i="1"/>
  <c r="F11" i="1"/>
  <c r="E11" i="1"/>
  <c r="D11" i="1"/>
  <c r="C11" i="1"/>
  <c r="B11" i="1"/>
  <c r="A11" i="1"/>
  <c r="I10" i="1"/>
  <c r="H10" i="1"/>
  <c r="G10" i="1"/>
  <c r="F10" i="1"/>
  <c r="E10" i="1"/>
  <c r="D10" i="1"/>
  <c r="C10" i="1"/>
  <c r="B10" i="1"/>
  <c r="A10" i="1"/>
  <c r="I9" i="1"/>
  <c r="H9" i="1"/>
  <c r="G9" i="1"/>
  <c r="F9" i="1"/>
  <c r="E9" i="1"/>
  <c r="D9" i="1"/>
  <c r="C9" i="1"/>
  <c r="B9" i="1"/>
  <c r="A9" i="1"/>
  <c r="I8" i="1"/>
  <c r="H8" i="1"/>
  <c r="G8" i="1"/>
  <c r="F8" i="1"/>
  <c r="E8" i="1"/>
  <c r="D8" i="1"/>
  <c r="C8" i="1"/>
  <c r="B8" i="1"/>
  <c r="A8" i="1"/>
  <c r="I7" i="1"/>
  <c r="H7" i="1"/>
  <c r="E7" i="1"/>
  <c r="D7" i="1"/>
  <c r="B7" i="1"/>
  <c r="A7" i="1"/>
</calcChain>
</file>

<file path=xl/sharedStrings.xml><?xml version="1.0" encoding="utf-8"?>
<sst xmlns="http://schemas.openxmlformats.org/spreadsheetml/2006/main" count="186" uniqueCount="95">
  <si>
    <t>Database</t>
  </si>
  <si>
    <t>GENERAL</t>
  </si>
  <si>
    <t>Table Name</t>
  </si>
  <si>
    <t>GLOBAL_CONFIG, GLOBAL_CONFIG_HIS</t>
  </si>
  <si>
    <t>Description</t>
  </si>
  <si>
    <t>Tabel to store global config</t>
  </si>
  <si>
    <t>FIELD NAME</t>
  </si>
  <si>
    <t>TYPE</t>
  </si>
  <si>
    <t>LENGTH</t>
  </si>
  <si>
    <t>NotNull</t>
  </si>
  <si>
    <t>DEFAULT</t>
  </si>
  <si>
    <t>DESCRIPTION</t>
  </si>
  <si>
    <t>OPTIONS</t>
  </si>
  <si>
    <t>DISPLAY</t>
  </si>
  <si>
    <t>SAMPLE DATA</t>
  </si>
  <si>
    <t>user input</t>
  </si>
  <si>
    <t>GENDER</t>
  </si>
  <si>
    <t>SECTION</t>
  </si>
  <si>
    <t>description</t>
  </si>
  <si>
    <t>varchar</t>
  </si>
  <si>
    <t>Y</t>
  </si>
  <si>
    <t>type</t>
  </si>
  <si>
    <t>KEY_VALUE/
JSON/
HTML/
JSON_ARRAY
ARRAY</t>
  </si>
  <si>
    <t>Type of Global config</t>
  </si>
  <si>
    <t>name</t>
  </si>
  <si>
    <t>Name</t>
  </si>
  <si>
    <t>boolean</t>
  </si>
  <si>
    <t>status</t>
  </si>
  <si>
    <t>int</t>
  </si>
  <si>
    <t>Attendance, Attendance_HIS</t>
  </si>
  <si>
    <t>Tabel List of Table Attendance</t>
  </si>
  <si>
    <t>Kode Arisan ( 101 )</t>
  </si>
  <si>
    <t>code</t>
  </si>
  <si>
    <t>status_checkin</t>
  </si>
  <si>
    <t>status_souvenir</t>
  </si>
  <si>
    <t>Status Checkin True or False</t>
  </si>
  <si>
    <t>Status Souvenir True or False</t>
  </si>
  <si>
    <t>checkin_time</t>
  </si>
  <si>
    <t>time</t>
  </si>
  <si>
    <t>no_table</t>
  </si>
  <si>
    <t>No Meja arisan</t>
  </si>
  <si>
    <t>Jam Checkin</t>
  </si>
  <si>
    <t>Event</t>
  </si>
  <si>
    <t>EVENT</t>
  </si>
  <si>
    <t>Event, Event_HIS</t>
  </si>
  <si>
    <t>Tabel List of Table Event</t>
  </si>
  <si>
    <t>start_dateTime</t>
  </si>
  <si>
    <t>end_dateTime</t>
  </si>
  <si>
    <t>datetime</t>
  </si>
  <si>
    <t>Nama Event</t>
  </si>
  <si>
    <t>Tanggal waktu event dimulai</t>
  </si>
  <si>
    <t>Tanggal waktu event selesai</t>
  </si>
  <si>
    <t>event_recid</t>
  </si>
  <si>
    <t>event recid (foreign_key)</t>
  </si>
  <si>
    <t>Doorprice</t>
  </si>
  <si>
    <t>Tabel List of Table Doorprice</t>
  </si>
  <si>
    <t>attendance_recid</t>
  </si>
  <si>
    <t>attendance recid ( foreign_key)</t>
  </si>
  <si>
    <t>Status</t>
  </si>
  <si>
    <t>Status sudah di berikan atau belum</t>
  </si>
  <si>
    <t>No</t>
  </si>
  <si>
    <t>Active</t>
  </si>
  <si>
    <t>Created By</t>
  </si>
  <si>
    <t>Last Updated</t>
  </si>
  <si>
    <t>Action</t>
  </si>
  <si>
    <t>John Due
22 Apr 2025 12:00:00</t>
  </si>
  <si>
    <t>Deskripsi untuk Event</t>
  </si>
  <si>
    <t>Arisan Paguyuban</t>
  </si>
  <si>
    <t>Arisan Universe Solution Digital</t>
  </si>
  <si>
    <t>Arisan Natal untuk Paguyuban</t>
  </si>
  <si>
    <t>Arisan akhir tahun USD</t>
  </si>
  <si>
    <t>EndDateTime</t>
  </si>
  <si>
    <t>StartDateTime</t>
  </si>
  <si>
    <t>25 Desember 2025 12:00:00</t>
  </si>
  <si>
    <t>30 Desember 2025 12:00:00</t>
  </si>
  <si>
    <t>25 Desember 2025 13:00:00</t>
  </si>
  <si>
    <t>30 Desember 2025 15:00:00</t>
  </si>
  <si>
    <t>Event Recid</t>
  </si>
  <si>
    <t>BIP</t>
  </si>
  <si>
    <t>CALVIN</t>
  </si>
  <si>
    <t>Checkin_time</t>
  </si>
  <si>
    <t>-</t>
  </si>
  <si>
    <t>Code</t>
  </si>
  <si>
    <t>Done</t>
  </si>
  <si>
    <t>Not yet</t>
  </si>
  <si>
    <t>Name Attendance</t>
  </si>
  <si>
    <t>Name Event</t>
  </si>
  <si>
    <t>Arisan USD</t>
  </si>
  <si>
    <t>Calvin</t>
  </si>
  <si>
    <t>Scanner</t>
  </si>
  <si>
    <t>Invitation</t>
  </si>
  <si>
    <t>Door Price</t>
  </si>
  <si>
    <t>status event ( Active, unactive)</t>
  </si>
  <si>
    <t>active</t>
  </si>
  <si>
    <t>unactive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</si>
</sst>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Poppins"/>
    </font>
    <font>
      <sz val="5"/>
      <color rgb="FF000000"/>
      <name val="Poppins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9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1" xfId="0" applyFont="1" applyBorder="1" applyAlignment="1">
      <alignment vertical="top"/>
    </xf>
    <xf numFmtId="0" fontId="2" fillId="0" borderId="1" xfId="0" applyFont="1" applyBorder="1"/>
    <xf numFmtId="0" fontId="3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3" fillId="2" borderId="0" xfId="0" applyFont="1" applyFill="1" applyAlignment="1">
      <alignment vertical="top"/>
    </xf>
    <xf numFmtId="0" fontId="3" fillId="2" borderId="0" xfId="0" applyFont="1" applyFill="1" applyAlignment="1">
      <alignment horizontal="center" vertical="top"/>
    </xf>
    <xf numFmtId="0" fontId="3" fillId="2" borderId="0" xfId="0" applyFont="1" applyFill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 wrapText="1"/>
    </xf>
    <xf numFmtId="0" fontId="2" fillId="3" borderId="4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/>
    </xf>
    <xf numFmtId="0" fontId="4" fillId="0" borderId="0" xfId="0" applyFont="1"/>
    <xf numFmtId="0" fontId="4" fillId="0" borderId="4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3" fillId="0" borderId="4" xfId="0" applyFont="1" applyBorder="1" applyAlignment="1">
      <alignment vertical="top" wrapText="1"/>
    </xf>
    <xf numFmtId="0" fontId="2" fillId="0" borderId="2" xfId="0" applyFont="1" applyBorder="1" applyAlignment="1">
      <alignment vertical="center" wrapText="1"/>
    </xf>
    <xf numFmtId="0" fontId="4" fillId="0" borderId="0" xfId="0" applyFont="1" applyAlignment="1">
      <alignment horizontal="center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 wrapText="1"/>
    </xf>
    <xf numFmtId="0" fontId="2" fillId="0" borderId="0" xfId="0" applyFont="1"/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" xfId="0" applyFont="1" applyBorder="1"/>
    <xf numFmtId="0" fontId="2" fillId="0" borderId="6" xfId="0" applyFont="1" applyBorder="1" applyAlignment="1">
      <alignment vertical="top" wrapText="1"/>
    </xf>
    <xf numFmtId="0" fontId="2" fillId="0" borderId="6" xfId="0" applyFont="1" applyBorder="1" applyAlignment="1">
      <alignment vertical="top"/>
    </xf>
    <xf numFmtId="0" fontId="1" fillId="0" borderId="3" xfId="0" applyFont="1" applyBorder="1" applyAlignment="1">
      <alignment horizontal="center" vertical="top" wrapText="1"/>
    </xf>
    <xf numFmtId="0" fontId="2" fillId="3" borderId="8" xfId="0" applyFont="1" applyFill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8" xfId="0" applyFont="1" applyBorder="1" applyAlignment="1">
      <alignment horizontal="left"/>
    </xf>
    <xf numFmtId="0" fontId="2" fillId="0" borderId="8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/>
    </xf>
    <xf numFmtId="0" fontId="0" fillId="0" borderId="8" xfId="0" applyBorder="1" applyAlignment="1">
      <alignment horizontal="left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top" wrapText="1"/>
    </xf>
    <xf numFmtId="22" fontId="6" fillId="0" borderId="0" xfId="0" quotePrefix="1" applyNumberFormat="1" applyFont="1" applyAlignment="1">
      <alignment vertical="top" wrapText="1"/>
    </xf>
    <xf numFmtId="0" fontId="7" fillId="0" borderId="0" xfId="0" applyFont="1" applyAlignment="1">
      <alignment horizontal="center" vertical="top" wrapText="1"/>
    </xf>
    <xf numFmtId="22" fontId="8" fillId="0" borderId="0" xfId="0" applyNumberFormat="1" applyFont="1"/>
    <xf numFmtId="0" fontId="5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10</xdr:col>
      <xdr:colOff>13804</xdr:colOff>
      <xdr:row>20</xdr:row>
      <xdr:rowOff>40308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93C49F-0153-A59F-3891-0B2D24D5D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"/>
          <a:ext cx="6087717" cy="3977547"/>
        </a:xfrm>
        <a:prstGeom prst="rect">
          <a:avLst/>
        </a:prstGeom>
      </xdr:spPr>
    </xdr:pic>
    <xdr:clientData/>
  </xdr:twoCellAnchor>
  <xdr:oneCellAnchor>
    <xdr:from>
      <xdr:col>19</xdr:col>
      <xdr:colOff>0</xdr:colOff>
      <xdr:row>3</xdr:row>
      <xdr:rowOff>0</xdr:rowOff>
    </xdr:from>
    <xdr:ext cx="885825" cy="266700"/>
    <xdr:pic>
      <xdr:nvPicPr>
        <xdr:cNvPr id="4" name="image3.png">
          <a:extLst>
            <a:ext uri="{FF2B5EF4-FFF2-40B4-BE49-F238E27FC236}">
              <a16:creationId xmlns:a16="http://schemas.microsoft.com/office/drawing/2014/main" id="{83FE74D2-0C5A-4E2D-B38C-F54942EE5098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537700" y="3048000"/>
          <a:ext cx="88582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4</xdr:row>
      <xdr:rowOff>0</xdr:rowOff>
    </xdr:from>
    <xdr:ext cx="857250" cy="266700"/>
    <xdr:pic>
      <xdr:nvPicPr>
        <xdr:cNvPr id="6" name="image3.png">
          <a:extLst>
            <a:ext uri="{FF2B5EF4-FFF2-40B4-BE49-F238E27FC236}">
              <a16:creationId xmlns:a16="http://schemas.microsoft.com/office/drawing/2014/main" id="{23718223-C1FF-4EB1-BC1E-1DD8EC0997E7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537700" y="3524250"/>
          <a:ext cx="857250" cy="2667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20401</xdr:colOff>
      <xdr:row>21</xdr:row>
      <xdr:rowOff>20433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F611D9-7D68-47F7-BABF-0B7B436D5F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116401" cy="4243183"/>
        </a:xfrm>
        <a:prstGeom prst="rect">
          <a:avLst/>
        </a:prstGeom>
      </xdr:spPr>
    </xdr:pic>
    <xdr:clientData/>
  </xdr:twoCellAnchor>
  <xdr:oneCellAnchor>
    <xdr:from>
      <xdr:col>21</xdr:col>
      <xdr:colOff>0</xdr:colOff>
      <xdr:row>3</xdr:row>
      <xdr:rowOff>0</xdr:rowOff>
    </xdr:from>
    <xdr:ext cx="885825" cy="266700"/>
    <xdr:pic>
      <xdr:nvPicPr>
        <xdr:cNvPr id="5" name="image3.png">
          <a:extLst>
            <a:ext uri="{FF2B5EF4-FFF2-40B4-BE49-F238E27FC236}">
              <a16:creationId xmlns:a16="http://schemas.microsoft.com/office/drawing/2014/main" id="{552539AA-A20C-467B-ADDD-671DA04C3ED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8961100" y="552450"/>
          <a:ext cx="88582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4</xdr:row>
      <xdr:rowOff>0</xdr:rowOff>
    </xdr:from>
    <xdr:ext cx="857250" cy="266700"/>
    <xdr:pic>
      <xdr:nvPicPr>
        <xdr:cNvPr id="6" name="image3.png">
          <a:extLst>
            <a:ext uri="{FF2B5EF4-FFF2-40B4-BE49-F238E27FC236}">
              <a16:creationId xmlns:a16="http://schemas.microsoft.com/office/drawing/2014/main" id="{888661C2-98E5-4A02-8053-DCF110BF9D4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8961100" y="869950"/>
          <a:ext cx="857250" cy="26670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20401</xdr:colOff>
      <xdr:row>23</xdr:row>
      <xdr:rowOff>7733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168F9F0-F3FD-4573-96B3-C7B92117E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081765" cy="4568188"/>
        </a:xfrm>
        <a:prstGeom prst="rect">
          <a:avLst/>
        </a:prstGeom>
      </xdr:spPr>
    </xdr:pic>
    <xdr:clientData/>
  </xdr:twoCellAnchor>
  <xdr:oneCellAnchor>
    <xdr:from>
      <xdr:col>19</xdr:col>
      <xdr:colOff>0</xdr:colOff>
      <xdr:row>3</xdr:row>
      <xdr:rowOff>0</xdr:rowOff>
    </xdr:from>
    <xdr:ext cx="885825" cy="266700"/>
    <xdr:pic>
      <xdr:nvPicPr>
        <xdr:cNvPr id="5" name="image3.png">
          <a:extLst>
            <a:ext uri="{FF2B5EF4-FFF2-40B4-BE49-F238E27FC236}">
              <a16:creationId xmlns:a16="http://schemas.microsoft.com/office/drawing/2014/main" id="{F0C2A70B-D5FE-487D-A768-61FC5A505CE6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1666200" y="552450"/>
          <a:ext cx="88582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4</xdr:row>
      <xdr:rowOff>0</xdr:rowOff>
    </xdr:from>
    <xdr:ext cx="857250" cy="266700"/>
    <xdr:pic>
      <xdr:nvPicPr>
        <xdr:cNvPr id="6" name="image3.png">
          <a:extLst>
            <a:ext uri="{FF2B5EF4-FFF2-40B4-BE49-F238E27FC236}">
              <a16:creationId xmlns:a16="http://schemas.microsoft.com/office/drawing/2014/main" id="{2D28DA6F-4318-450F-9F10-ECF075C0AF49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1666200" y="869950"/>
          <a:ext cx="857250" cy="266700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73269</xdr:colOff>
      <xdr:row>4</xdr:row>
      <xdr:rowOff>97693</xdr:rowOff>
    </xdr:from>
    <xdr:to>
      <xdr:col>4</xdr:col>
      <xdr:colOff>168873</xdr:colOff>
      <xdr:row>32</xdr:row>
      <xdr:rowOff>58109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8BCCE0-6E41-D3D6-2A25-444B63DA05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269" y="830385"/>
          <a:ext cx="2537912" cy="5089262"/>
        </a:xfrm>
        <a:prstGeom prst="rect">
          <a:avLst/>
        </a:prstGeom>
      </xdr:spPr>
    </xdr:pic>
    <xdr:clientData/>
  </xdr:twoCellAnchor>
  <xdr:twoCellAnchor editAs="oneCell">
    <xdr:from>
      <xdr:col>4</xdr:col>
      <xdr:colOff>307032</xdr:colOff>
      <xdr:row>4</xdr:row>
      <xdr:rowOff>122115</xdr:rowOff>
    </xdr:from>
    <xdr:to>
      <xdr:col>13</xdr:col>
      <xdr:colOff>321410</xdr:colOff>
      <xdr:row>29</xdr:row>
      <xdr:rowOff>178092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FC9520C-4457-73E5-75CB-C5057BA3A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49340" y="854807"/>
          <a:ext cx="5509570" cy="4635304"/>
        </a:xfrm>
        <a:prstGeom prst="rect">
          <a:avLst/>
        </a:prstGeom>
      </xdr:spPr>
    </xdr:pic>
    <xdr:clientData/>
  </xdr:twoCellAnchor>
  <xdr:twoCellAnchor editAs="oneCell">
    <xdr:from>
      <xdr:col>15</xdr:col>
      <xdr:colOff>99437</xdr:colOff>
      <xdr:row>3</xdr:row>
      <xdr:rowOff>146538</xdr:rowOff>
    </xdr:from>
    <xdr:to>
      <xdr:col>26</xdr:col>
      <xdr:colOff>89491</xdr:colOff>
      <xdr:row>29</xdr:row>
      <xdr:rowOff>114605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779CAC2-CE1D-1B71-AE5E-8E30F91F53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258091" y="696057"/>
          <a:ext cx="6706400" cy="4730567"/>
        </a:xfrm>
        <a:prstGeom prst="rect">
          <a:avLst/>
        </a:prstGeom>
      </xdr:spPr>
    </xdr:pic>
    <xdr:clientData/>
  </xdr:twoCellAnchor>
  <xdr:twoCellAnchor editAs="oneCell">
    <xdr:from>
      <xdr:col>27</xdr:col>
      <xdr:colOff>36635</xdr:colOff>
      <xdr:row>4</xdr:row>
      <xdr:rowOff>122117</xdr:rowOff>
    </xdr:from>
    <xdr:to>
      <xdr:col>37</xdr:col>
      <xdr:colOff>370665</xdr:colOff>
      <xdr:row>25</xdr:row>
      <xdr:rowOff>133645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D5AD4D8-67EF-CBAD-CA54-CA23675573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522212" y="854809"/>
          <a:ext cx="6439799" cy="385816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alvi\Downloads\Structure%20Table.xlsx" TargetMode="External"/><Relationship Id="rId1" Type="http://schemas.openxmlformats.org/officeDocument/2006/relationships/externalLinkPath" Target="/Users/calvi/Downloads/Structure%20Tab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_CONFIGS"/>
      <sheetName val="USER"/>
      <sheetName val="FAMILY_NAME"/>
      <sheetName val="NEWS_CATEGORY"/>
      <sheetName val="NEWS"/>
      <sheetName val="NEWS UI MOCKUP"/>
      <sheetName val="EVENT"/>
      <sheetName val="EVENT UI MOCKUP"/>
      <sheetName val="NEWS_COMMENT"/>
      <sheetName val="BANNER"/>
      <sheetName val="SOCIAL_MEDIA"/>
      <sheetName val="BUSINESS_CATEGORY"/>
      <sheetName val="BUSINESS_SUB_CATEGORY"/>
      <sheetName val="BUSINESS_PROFILE"/>
      <sheetName val="BUSINESS_PROMOTION"/>
      <sheetName val="BUSINESS_JOB_VACANCY"/>
      <sheetName val="BUSINESS_JOB_VACANCY_CATEGORIES"/>
      <sheetName val="GALLERY"/>
      <sheetName val="VIDEO_GALLERY_CATEGORY"/>
      <sheetName val="COOPERATIONS"/>
      <sheetName val="DONATION_CATEGORIES"/>
      <sheetName val="DONATIONS"/>
      <sheetName val="DONATION_WITHDRAWALS"/>
      <sheetName val="JOURNAL_DONATION"/>
      <sheetName val="PAYMENT_CHANNEL_PARAMETER"/>
      <sheetName val="TRANSACTIONS"/>
      <sheetName val="TRANSACTION_WITHDRAWAL"/>
      <sheetName val="RELATED_LINKS"/>
      <sheetName val="USER_BANK_ACCOUNT"/>
      <sheetName val="LOVE_PROFILE"/>
      <sheetName val="LOVE_MATCH"/>
      <sheetName val="Mockup User Int Signup"/>
      <sheetName val="!!!!! AUDIT_TRAIL !!!!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6">
          <cell r="A6" t="str">
            <v>recid</v>
          </cell>
          <cell r="B6" t="str">
            <v>varchar</v>
          </cell>
          <cell r="C6">
            <v>36</v>
          </cell>
          <cell r="D6" t="str">
            <v>Y</v>
          </cell>
          <cell r="E6"/>
          <cell r="F6" t="str">
            <v>uuid</v>
          </cell>
          <cell r="G6" t="str">
            <v>uuid</v>
          </cell>
          <cell r="H6"/>
          <cell r="I6"/>
        </row>
        <row r="7">
          <cell r="A7" t="str">
            <v>record_status</v>
          </cell>
          <cell r="B7" t="str">
            <v>varchar</v>
          </cell>
          <cell r="C7">
            <v>10</v>
          </cell>
          <cell r="D7" t="str">
            <v>Y</v>
          </cell>
          <cell r="E7"/>
          <cell r="F7" t="str">
            <v>Record status</v>
          </cell>
          <cell r="G7"/>
          <cell r="H7"/>
          <cell r="I7"/>
        </row>
        <row r="8">
          <cell r="A8" t="str">
            <v>curr_no</v>
          </cell>
          <cell r="B8" t="str">
            <v>int</v>
          </cell>
          <cell r="C8">
            <v>4</v>
          </cell>
          <cell r="D8" t="str">
            <v>Y</v>
          </cell>
          <cell r="E8"/>
          <cell r="F8" t="str">
            <v>Current no</v>
          </cell>
          <cell r="G8"/>
          <cell r="H8"/>
          <cell r="I8"/>
        </row>
        <row r="9">
          <cell r="A9" t="str">
            <v>inputter</v>
          </cell>
          <cell r="B9" t="str">
            <v>varchar</v>
          </cell>
          <cell r="C9">
            <v>50</v>
          </cell>
          <cell r="D9" t="str">
            <v>Y</v>
          </cell>
          <cell r="E9"/>
          <cell r="F9" t="str">
            <v>User ID user inputter</v>
          </cell>
          <cell r="G9"/>
          <cell r="H9"/>
          <cell r="I9"/>
        </row>
        <row r="10">
          <cell r="A10" t="str">
            <v>input_datetime</v>
          </cell>
          <cell r="B10" t="str">
            <v>bigint</v>
          </cell>
          <cell r="C10">
            <v>20</v>
          </cell>
          <cell r="D10" t="str">
            <v>Y</v>
          </cell>
          <cell r="E10"/>
          <cell r="F10" t="str">
            <v>Input Date time. Format UNIX milisecond</v>
          </cell>
          <cell r="G10"/>
          <cell r="H10"/>
          <cell r="I10"/>
        </row>
        <row r="11">
          <cell r="A11" t="str">
            <v>authoriser</v>
          </cell>
          <cell r="B11" t="str">
            <v>text</v>
          </cell>
          <cell r="C11"/>
          <cell r="D11"/>
          <cell r="E11"/>
          <cell r="F11" t="str">
            <v>User ID user authoriser</v>
          </cell>
          <cell r="G11"/>
          <cell r="H11"/>
          <cell r="I11"/>
        </row>
        <row r="12">
          <cell r="A12" t="str">
            <v>auth_datetime</v>
          </cell>
          <cell r="B12" t="str">
            <v>bigint</v>
          </cell>
          <cell r="C12">
            <v>20</v>
          </cell>
          <cell r="D12"/>
          <cell r="E12"/>
          <cell r="F12" t="str">
            <v>Authoriser Date time. Format UNIX milisecond</v>
          </cell>
          <cell r="G12"/>
          <cell r="H12"/>
          <cell r="I12"/>
        </row>
        <row r="13">
          <cell r="A13" t="str">
            <v>branch_recid</v>
          </cell>
          <cell r="B13" t="str">
            <v>varchar</v>
          </cell>
          <cell r="C13">
            <v>50</v>
          </cell>
          <cell r="D13" t="str">
            <v>Y</v>
          </cell>
          <cell r="E13"/>
          <cell r="F13" t="str">
            <v>Branch Recid</v>
          </cell>
          <cell r="G13"/>
          <cell r="H13"/>
          <cell r="I13"/>
        </row>
        <row r="15">
          <cell r="A15" t="str">
            <v>notes</v>
          </cell>
          <cell r="B15" t="str">
            <v>text</v>
          </cell>
          <cell r="C15"/>
          <cell r="D15"/>
          <cell r="E15"/>
          <cell r="F15" t="str">
            <v>notes</v>
          </cell>
          <cell r="G15"/>
          <cell r="H15"/>
          <cell r="I15"/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7446F-5197-4FC0-8A69-4603A8F74289}">
  <dimension ref="A1:V27"/>
  <sheetViews>
    <sheetView zoomScale="65" workbookViewId="0">
      <selection activeCell="F30" sqref="F30"/>
    </sheetView>
  </sheetViews>
  <sheetFormatPr defaultColWidth="12.6328125" defaultRowHeight="14.5" x14ac:dyDescent="0.35"/>
  <cols>
    <col min="1" max="1" width="23.81640625" customWidth="1"/>
    <col min="2" max="2" width="9.453125" customWidth="1"/>
    <col min="3" max="4" width="8" customWidth="1"/>
    <col min="5" max="5" width="23.1796875" customWidth="1"/>
    <col min="6" max="6" width="52.6328125" customWidth="1"/>
    <col min="7" max="7" width="16.81640625" customWidth="1"/>
    <col min="8" max="8" width="7.36328125" customWidth="1"/>
    <col min="9" max="9" width="31.1796875" customWidth="1"/>
    <col min="12" max="12" width="14" customWidth="1"/>
  </cols>
  <sheetData>
    <row r="1" spans="1:12" ht="15" customHeight="1" x14ac:dyDescent="0.3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</row>
    <row r="2" spans="1:12" x14ac:dyDescent="0.35">
      <c r="A2" s="1" t="s">
        <v>2</v>
      </c>
      <c r="B2" s="3" t="s">
        <v>3</v>
      </c>
      <c r="C2" s="3"/>
      <c r="D2" s="3"/>
      <c r="E2" s="4"/>
      <c r="F2" s="3"/>
      <c r="G2" s="5"/>
      <c r="H2" s="3"/>
      <c r="I2" s="3"/>
    </row>
    <row r="3" spans="1:12" x14ac:dyDescent="0.35">
      <c r="A3" s="1" t="s">
        <v>4</v>
      </c>
      <c r="B3" s="3" t="s">
        <v>5</v>
      </c>
      <c r="C3" s="3"/>
      <c r="D3" s="3"/>
      <c r="E3" s="4"/>
      <c r="F3" s="3"/>
      <c r="G3" s="5"/>
      <c r="H3" s="3"/>
      <c r="I3" s="3"/>
    </row>
    <row r="4" spans="1:12" x14ac:dyDescent="0.35">
      <c r="A4" s="6"/>
      <c r="B4" s="3"/>
      <c r="C4" s="3"/>
      <c r="D4" s="3"/>
      <c r="E4" s="4"/>
      <c r="F4" s="3"/>
      <c r="G4" s="5"/>
      <c r="H4" s="3"/>
      <c r="I4" s="3"/>
    </row>
    <row r="5" spans="1:12" x14ac:dyDescent="0.35">
      <c r="A5" s="7"/>
      <c r="B5" s="8"/>
      <c r="C5" s="8"/>
      <c r="D5" s="8"/>
      <c r="E5" s="9"/>
      <c r="F5" s="8"/>
      <c r="G5" s="10"/>
      <c r="H5" s="8"/>
      <c r="I5" s="8"/>
    </row>
    <row r="6" spans="1:12" x14ac:dyDescent="0.35">
      <c r="A6" s="11" t="s">
        <v>6</v>
      </c>
      <c r="B6" s="11" t="s">
        <v>7</v>
      </c>
      <c r="C6" s="11" t="s">
        <v>8</v>
      </c>
      <c r="D6" s="11" t="s">
        <v>9</v>
      </c>
      <c r="E6" s="12" t="s">
        <v>10</v>
      </c>
      <c r="F6" s="11" t="s">
        <v>11</v>
      </c>
      <c r="G6" s="13" t="s">
        <v>12</v>
      </c>
      <c r="H6" s="11" t="s">
        <v>13</v>
      </c>
      <c r="I6" s="11" t="s">
        <v>14</v>
      </c>
    </row>
    <row r="7" spans="1:12" x14ac:dyDescent="0.35">
      <c r="A7" s="14" t="str">
        <f>'[1]!!!!! AUDIT_TRAIL !!!!'!A6</f>
        <v>recid</v>
      </c>
      <c r="B7" s="14" t="str">
        <f>'[1]!!!!! AUDIT_TRAIL !!!!'!B6</f>
        <v>varchar</v>
      </c>
      <c r="C7" s="15">
        <v>100</v>
      </c>
      <c r="D7" s="15" t="str">
        <f>'[1]!!!!! AUDIT_TRAIL !!!!'!D6</f>
        <v>Y</v>
      </c>
      <c r="E7" s="14">
        <f>'[1]!!!!! AUDIT_TRAIL !!!!'!E6</f>
        <v>0</v>
      </c>
      <c r="F7" s="14" t="s">
        <v>15</v>
      </c>
      <c r="G7" s="14"/>
      <c r="H7" s="14">
        <f>'[1]!!!!! AUDIT_TRAIL !!!!'!H6</f>
        <v>0</v>
      </c>
      <c r="I7" s="14">
        <f>'[1]!!!!! AUDIT_TRAIL !!!!'!I6</f>
        <v>0</v>
      </c>
      <c r="J7" s="16" t="s">
        <v>16</v>
      </c>
      <c r="L7" s="16" t="s">
        <v>17</v>
      </c>
    </row>
    <row r="8" spans="1:12" x14ac:dyDescent="0.35">
      <c r="A8" s="14" t="str">
        <f>'[1]!!!!! AUDIT_TRAIL !!!!'!A7</f>
        <v>record_status</v>
      </c>
      <c r="B8" s="14" t="str">
        <f>'[1]!!!!! AUDIT_TRAIL !!!!'!B7</f>
        <v>varchar</v>
      </c>
      <c r="C8" s="15">
        <f>'[1]!!!!! AUDIT_TRAIL !!!!'!C7</f>
        <v>10</v>
      </c>
      <c r="D8" s="15" t="str">
        <f>'[1]!!!!! AUDIT_TRAIL !!!!'!D7</f>
        <v>Y</v>
      </c>
      <c r="E8" s="14">
        <f>'[1]!!!!! AUDIT_TRAIL !!!!'!E7</f>
        <v>0</v>
      </c>
      <c r="F8" s="14" t="str">
        <f>'[1]!!!!! AUDIT_TRAIL !!!!'!F7</f>
        <v>Record status</v>
      </c>
      <c r="G8" s="14">
        <f>'[1]!!!!! AUDIT_TRAIL !!!!'!G7</f>
        <v>0</v>
      </c>
      <c r="H8" s="14">
        <f>'[1]!!!!! AUDIT_TRAIL !!!!'!H7</f>
        <v>0</v>
      </c>
      <c r="I8" s="14">
        <f>'[1]!!!!! AUDIT_TRAIL !!!!'!I7</f>
        <v>0</v>
      </c>
    </row>
    <row r="9" spans="1:12" x14ac:dyDescent="0.35">
      <c r="A9" s="14" t="str">
        <f>'[1]!!!!! AUDIT_TRAIL !!!!'!A8</f>
        <v>curr_no</v>
      </c>
      <c r="B9" s="14" t="str">
        <f>'[1]!!!!! AUDIT_TRAIL !!!!'!B8</f>
        <v>int</v>
      </c>
      <c r="C9" s="15">
        <f>'[1]!!!!! AUDIT_TRAIL !!!!'!C8</f>
        <v>4</v>
      </c>
      <c r="D9" s="15" t="str">
        <f>'[1]!!!!! AUDIT_TRAIL !!!!'!D8</f>
        <v>Y</v>
      </c>
      <c r="E9" s="14">
        <f>'[1]!!!!! AUDIT_TRAIL !!!!'!E8</f>
        <v>0</v>
      </c>
      <c r="F9" s="14" t="str">
        <f>'[1]!!!!! AUDIT_TRAIL !!!!'!F8</f>
        <v>Current no</v>
      </c>
      <c r="G9" s="14">
        <f>'[1]!!!!! AUDIT_TRAIL !!!!'!G8</f>
        <v>0</v>
      </c>
      <c r="H9" s="14">
        <f>'[1]!!!!! AUDIT_TRAIL !!!!'!H8</f>
        <v>0</v>
      </c>
      <c r="I9" s="14">
        <f>'[1]!!!!! AUDIT_TRAIL !!!!'!I8</f>
        <v>0</v>
      </c>
    </row>
    <row r="10" spans="1:12" x14ac:dyDescent="0.35">
      <c r="A10" s="14" t="str">
        <f>'[1]!!!!! AUDIT_TRAIL !!!!'!A9</f>
        <v>inputter</v>
      </c>
      <c r="B10" s="14" t="str">
        <f>'[1]!!!!! AUDIT_TRAIL !!!!'!B9</f>
        <v>varchar</v>
      </c>
      <c r="C10" s="15">
        <f>'[1]!!!!! AUDIT_TRAIL !!!!'!C9</f>
        <v>50</v>
      </c>
      <c r="D10" s="15" t="str">
        <f>'[1]!!!!! AUDIT_TRAIL !!!!'!D9</f>
        <v>Y</v>
      </c>
      <c r="E10" s="14">
        <f>'[1]!!!!! AUDIT_TRAIL !!!!'!E9</f>
        <v>0</v>
      </c>
      <c r="F10" s="14" t="str">
        <f>'[1]!!!!! AUDIT_TRAIL !!!!'!F9</f>
        <v>User ID user inputter</v>
      </c>
      <c r="G10" s="14">
        <f>'[1]!!!!! AUDIT_TRAIL !!!!'!G9</f>
        <v>0</v>
      </c>
      <c r="H10" s="14">
        <f>'[1]!!!!! AUDIT_TRAIL !!!!'!H9</f>
        <v>0</v>
      </c>
      <c r="I10" s="14">
        <f>'[1]!!!!! AUDIT_TRAIL !!!!'!I9</f>
        <v>0</v>
      </c>
    </row>
    <row r="11" spans="1:12" x14ac:dyDescent="0.35">
      <c r="A11" s="14" t="str">
        <f>'[1]!!!!! AUDIT_TRAIL !!!!'!A10</f>
        <v>input_datetime</v>
      </c>
      <c r="B11" s="14" t="str">
        <f>'[1]!!!!! AUDIT_TRAIL !!!!'!B10</f>
        <v>bigint</v>
      </c>
      <c r="C11" s="15">
        <f>'[1]!!!!! AUDIT_TRAIL !!!!'!C10</f>
        <v>20</v>
      </c>
      <c r="D11" s="15" t="str">
        <f>'[1]!!!!! AUDIT_TRAIL !!!!'!D10</f>
        <v>Y</v>
      </c>
      <c r="E11" s="14">
        <f>'[1]!!!!! AUDIT_TRAIL !!!!'!E10</f>
        <v>0</v>
      </c>
      <c r="F11" s="14" t="str">
        <f>'[1]!!!!! AUDIT_TRAIL !!!!'!F10</f>
        <v>Input Date time. Format UNIX milisecond</v>
      </c>
      <c r="G11" s="14">
        <f>'[1]!!!!! AUDIT_TRAIL !!!!'!G10</f>
        <v>0</v>
      </c>
      <c r="H11" s="14">
        <f>'[1]!!!!! AUDIT_TRAIL !!!!'!H10</f>
        <v>0</v>
      </c>
      <c r="I11" s="14">
        <f>'[1]!!!!! AUDIT_TRAIL !!!!'!I10</f>
        <v>0</v>
      </c>
    </row>
    <row r="12" spans="1:12" x14ac:dyDescent="0.35">
      <c r="A12" s="14" t="str">
        <f>'[1]!!!!! AUDIT_TRAIL !!!!'!A11</f>
        <v>authoriser</v>
      </c>
      <c r="B12" s="14" t="str">
        <f>'[1]!!!!! AUDIT_TRAIL !!!!'!B11</f>
        <v>text</v>
      </c>
      <c r="C12" s="15">
        <f>'[1]!!!!! AUDIT_TRAIL !!!!'!C11</f>
        <v>0</v>
      </c>
      <c r="D12" s="15">
        <f>'[1]!!!!! AUDIT_TRAIL !!!!'!D11</f>
        <v>0</v>
      </c>
      <c r="E12" s="14">
        <f>'[1]!!!!! AUDIT_TRAIL !!!!'!E11</f>
        <v>0</v>
      </c>
      <c r="F12" s="14" t="str">
        <f>'[1]!!!!! AUDIT_TRAIL !!!!'!F11</f>
        <v>User ID user authoriser</v>
      </c>
      <c r="G12" s="14">
        <f>'[1]!!!!! AUDIT_TRAIL !!!!'!G11</f>
        <v>0</v>
      </c>
      <c r="H12" s="14">
        <f>'[1]!!!!! AUDIT_TRAIL !!!!'!H11</f>
        <v>0</v>
      </c>
      <c r="I12" s="14">
        <f>'[1]!!!!! AUDIT_TRAIL !!!!'!I11</f>
        <v>0</v>
      </c>
    </row>
    <row r="13" spans="1:12" x14ac:dyDescent="0.35">
      <c r="A13" s="14" t="str">
        <f>'[1]!!!!! AUDIT_TRAIL !!!!'!A12</f>
        <v>auth_datetime</v>
      </c>
      <c r="B13" s="14" t="str">
        <f>'[1]!!!!! AUDIT_TRAIL !!!!'!B12</f>
        <v>bigint</v>
      </c>
      <c r="C13" s="15">
        <f>'[1]!!!!! AUDIT_TRAIL !!!!'!C12</f>
        <v>20</v>
      </c>
      <c r="D13" s="15">
        <f>'[1]!!!!! AUDIT_TRAIL !!!!'!D12</f>
        <v>0</v>
      </c>
      <c r="E13" s="14">
        <f>'[1]!!!!! AUDIT_TRAIL !!!!'!E12</f>
        <v>0</v>
      </c>
      <c r="F13" s="14" t="str">
        <f>'[1]!!!!! AUDIT_TRAIL !!!!'!F12</f>
        <v>Authoriser Date time. Format UNIX milisecond</v>
      </c>
      <c r="G13" s="14">
        <f>'[1]!!!!! AUDIT_TRAIL !!!!'!G12</f>
        <v>0</v>
      </c>
      <c r="H13" s="14">
        <f>'[1]!!!!! AUDIT_TRAIL !!!!'!H12</f>
        <v>0</v>
      </c>
      <c r="I13" s="14">
        <f>'[1]!!!!! AUDIT_TRAIL !!!!'!I12</f>
        <v>0</v>
      </c>
    </row>
    <row r="14" spans="1:12" x14ac:dyDescent="0.35">
      <c r="A14" s="14" t="str">
        <f>'[1]!!!!! AUDIT_TRAIL !!!!'!A15</f>
        <v>notes</v>
      </c>
      <c r="B14" s="14" t="str">
        <f>'[1]!!!!! AUDIT_TRAIL !!!!'!B15</f>
        <v>text</v>
      </c>
      <c r="C14" s="15">
        <f>'[1]!!!!! AUDIT_TRAIL !!!!'!C15</f>
        <v>0</v>
      </c>
      <c r="D14" s="15">
        <f>'[1]!!!!! AUDIT_TRAIL !!!!'!D15</f>
        <v>0</v>
      </c>
      <c r="E14" s="14">
        <f>'[1]!!!!! AUDIT_TRAIL !!!!'!E15</f>
        <v>0</v>
      </c>
      <c r="F14" s="14" t="str">
        <f>'[1]!!!!! AUDIT_TRAIL !!!!'!F15</f>
        <v>notes</v>
      </c>
      <c r="G14" s="14">
        <f>'[1]!!!!! AUDIT_TRAIL !!!!'!G15</f>
        <v>0</v>
      </c>
      <c r="H14" s="14">
        <f>'[1]!!!!! AUDIT_TRAIL !!!!'!H15</f>
        <v>0</v>
      </c>
      <c r="I14" s="14">
        <f>'[1]!!!!! AUDIT_TRAIL !!!!'!I15</f>
        <v>0</v>
      </c>
    </row>
    <row r="15" spans="1:12" x14ac:dyDescent="0.35">
      <c r="A15" s="17" t="s">
        <v>18</v>
      </c>
      <c r="B15" s="17" t="s">
        <v>19</v>
      </c>
      <c r="C15" s="18">
        <v>500</v>
      </c>
      <c r="D15" s="18" t="s">
        <v>20</v>
      </c>
      <c r="E15" s="17"/>
      <c r="F15" s="17" t="s">
        <v>4</v>
      </c>
      <c r="G15" s="19"/>
      <c r="H15" s="20"/>
      <c r="I15" s="21"/>
    </row>
    <row r="16" spans="1:12" x14ac:dyDescent="0.35">
      <c r="A16" s="17" t="s">
        <v>21</v>
      </c>
      <c r="B16" s="17" t="s">
        <v>19</v>
      </c>
      <c r="C16" s="18">
        <v>20</v>
      </c>
      <c r="D16" s="18" t="s">
        <v>20</v>
      </c>
      <c r="E16" s="17" t="s">
        <v>22</v>
      </c>
      <c r="F16" s="17" t="s">
        <v>23</v>
      </c>
      <c r="G16" s="19"/>
      <c r="H16" s="20"/>
      <c r="I16" s="21"/>
    </row>
    <row r="17" spans="1:22" x14ac:dyDescent="0.35">
      <c r="A17" s="16"/>
      <c r="B17" s="16"/>
      <c r="C17" s="23"/>
      <c r="D17" s="23"/>
      <c r="E17" s="16"/>
      <c r="F17" s="16"/>
      <c r="G17" s="24"/>
      <c r="H17" s="25"/>
      <c r="I17" s="25"/>
    </row>
    <row r="18" spans="1:22" x14ac:dyDescent="0.35">
      <c r="A18" s="26"/>
      <c r="B18" s="26"/>
      <c r="C18" s="27"/>
      <c r="D18" s="27"/>
      <c r="E18" s="26"/>
      <c r="F18" s="28"/>
      <c r="G18" s="28"/>
      <c r="H18" s="29"/>
      <c r="I18" s="29"/>
    </row>
    <row r="19" spans="1:22" x14ac:dyDescent="0.35">
      <c r="A19" s="26"/>
      <c r="B19" s="26"/>
      <c r="C19" s="27"/>
      <c r="D19" s="27"/>
      <c r="E19" s="26"/>
      <c r="F19" s="28"/>
      <c r="G19" s="28"/>
      <c r="H19" s="29"/>
      <c r="I19" s="29"/>
    </row>
    <row r="20" spans="1:22" x14ac:dyDescent="0.35">
      <c r="A20" s="26"/>
      <c r="B20" s="26"/>
      <c r="C20" s="27"/>
      <c r="D20" s="27"/>
      <c r="E20" s="26"/>
      <c r="F20" s="28"/>
      <c r="G20" s="28"/>
      <c r="H20" s="29"/>
      <c r="I20" s="29"/>
    </row>
    <row r="21" spans="1:22" x14ac:dyDescent="0.35">
      <c r="A21" s="26"/>
      <c r="B21" s="26"/>
      <c r="C21" s="27"/>
      <c r="D21" s="27"/>
      <c r="E21" s="26"/>
      <c r="F21" s="28"/>
      <c r="G21" s="28"/>
      <c r="H21" s="29"/>
      <c r="I21" s="29"/>
    </row>
    <row r="23" spans="1:22" x14ac:dyDescent="0.35">
      <c r="Q23" s="25"/>
      <c r="R23" s="30"/>
      <c r="S23" s="31"/>
      <c r="T23" s="31"/>
      <c r="U23" s="32"/>
      <c r="V23" s="33"/>
    </row>
    <row r="24" spans="1:22" x14ac:dyDescent="0.35">
      <c r="Q24" s="25"/>
      <c r="R24" s="30"/>
      <c r="S24" s="31"/>
      <c r="T24" s="31"/>
      <c r="U24" s="32"/>
      <c r="V24" s="33"/>
    </row>
    <row r="25" spans="1:22" x14ac:dyDescent="0.35">
      <c r="Q25" s="25"/>
      <c r="R25" s="30"/>
      <c r="S25" s="31"/>
      <c r="T25" s="31"/>
      <c r="U25" s="32"/>
      <c r="V25" s="33"/>
    </row>
    <row r="26" spans="1:22" x14ac:dyDescent="0.35">
      <c r="Q26" s="25"/>
      <c r="R26" s="30"/>
      <c r="S26" s="31"/>
      <c r="T26" s="31"/>
      <c r="U26" s="32"/>
      <c r="V26" s="33"/>
    </row>
    <row r="27" spans="1:22" x14ac:dyDescent="0.35">
      <c r="Q27" s="25"/>
      <c r="R27" s="30"/>
      <c r="S27" s="31"/>
      <c r="T27" s="31"/>
      <c r="U27" s="32"/>
      <c r="V27" s="3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A2D75-E0AD-4E42-A556-804DF0054B87}">
  <dimension ref="A1:I18"/>
  <sheetViews>
    <sheetView zoomScale="85" workbookViewId="0">
      <selection activeCell="F18" sqref="F18"/>
    </sheetView>
  </sheetViews>
  <sheetFormatPr defaultColWidth="12.6328125" defaultRowHeight="15" customHeight="1" x14ac:dyDescent="0.35"/>
  <cols>
    <col min="1" max="1" width="23.81640625" customWidth="1"/>
    <col min="2" max="2" width="9.453125" customWidth="1"/>
    <col min="3" max="4" width="8" customWidth="1"/>
    <col min="5" max="5" width="23.1796875" customWidth="1"/>
    <col min="6" max="6" width="52.6328125" customWidth="1"/>
    <col min="7" max="7" width="16.81640625" customWidth="1"/>
    <col min="8" max="8" width="7.36328125" customWidth="1"/>
    <col min="9" max="9" width="31.1796875" customWidth="1"/>
  </cols>
  <sheetData>
    <row r="1" spans="1:9" ht="15" customHeight="1" x14ac:dyDescent="0.35">
      <c r="A1" s="6" t="s">
        <v>0</v>
      </c>
      <c r="B1" s="2" t="s">
        <v>43</v>
      </c>
      <c r="C1" s="2"/>
      <c r="D1" s="2"/>
      <c r="E1" s="2"/>
      <c r="F1" s="2"/>
      <c r="G1" s="2"/>
      <c r="H1" s="2"/>
      <c r="I1" s="2"/>
    </row>
    <row r="2" spans="1:9" ht="14.5" x14ac:dyDescent="0.35">
      <c r="A2" s="6" t="s">
        <v>2</v>
      </c>
      <c r="B2" s="3" t="s">
        <v>44</v>
      </c>
      <c r="C2" s="3"/>
      <c r="D2" s="3"/>
      <c r="E2" s="4"/>
      <c r="F2" s="3"/>
      <c r="G2" s="5"/>
      <c r="H2" s="3"/>
      <c r="I2" s="3"/>
    </row>
    <row r="3" spans="1:9" ht="14.5" x14ac:dyDescent="0.35">
      <c r="A3" s="6" t="s">
        <v>4</v>
      </c>
      <c r="B3" s="3" t="s">
        <v>45</v>
      </c>
      <c r="C3" s="3"/>
      <c r="D3" s="3"/>
      <c r="E3" s="4"/>
      <c r="F3" s="3"/>
      <c r="G3" s="5"/>
      <c r="H3" s="3"/>
      <c r="I3" s="3"/>
    </row>
    <row r="4" spans="1:9" ht="14.5" x14ac:dyDescent="0.35">
      <c r="A4" s="7"/>
      <c r="B4" s="8"/>
      <c r="C4" s="8"/>
      <c r="D4" s="8"/>
      <c r="E4" s="9"/>
      <c r="F4" s="8"/>
      <c r="G4" s="10"/>
      <c r="H4" s="8"/>
      <c r="I4" s="8"/>
    </row>
    <row r="5" spans="1:9" ht="14.5" x14ac:dyDescent="0.35">
      <c r="A5" s="12" t="s">
        <v>6</v>
      </c>
      <c r="B5" s="12" t="s">
        <v>7</v>
      </c>
      <c r="C5" s="12" t="s">
        <v>8</v>
      </c>
      <c r="D5" s="12" t="s">
        <v>9</v>
      </c>
      <c r="E5" s="12" t="s">
        <v>10</v>
      </c>
      <c r="F5" s="12" t="s">
        <v>11</v>
      </c>
      <c r="G5" s="41" t="s">
        <v>12</v>
      </c>
      <c r="H5" s="12" t="s">
        <v>13</v>
      </c>
      <c r="I5" s="12" t="s">
        <v>14</v>
      </c>
    </row>
    <row r="6" spans="1:9" ht="14.5" x14ac:dyDescent="0.35">
      <c r="A6" s="42" t="str">
        <f>'[1]!!!!! AUDIT_TRAIL !!!!'!A6</f>
        <v>recid</v>
      </c>
      <c r="B6" s="42" t="str">
        <f>'[1]!!!!! AUDIT_TRAIL !!!!'!B6</f>
        <v>varchar</v>
      </c>
      <c r="C6" s="42">
        <f>'[1]!!!!! AUDIT_TRAIL !!!!'!C6</f>
        <v>36</v>
      </c>
      <c r="D6" s="42" t="str">
        <f>'[1]!!!!! AUDIT_TRAIL !!!!'!D6</f>
        <v>Y</v>
      </c>
      <c r="E6" s="42">
        <f>'[1]!!!!! AUDIT_TRAIL !!!!'!E6</f>
        <v>0</v>
      </c>
      <c r="F6" s="42" t="str">
        <f>'[1]!!!!! AUDIT_TRAIL !!!!'!F6</f>
        <v>uuid</v>
      </c>
      <c r="G6" s="42" t="str">
        <f>'[1]!!!!! AUDIT_TRAIL !!!!'!G6</f>
        <v>uuid</v>
      </c>
      <c r="H6" s="42">
        <f>'[1]!!!!! AUDIT_TRAIL !!!!'!H6</f>
        <v>0</v>
      </c>
      <c r="I6" s="42">
        <f>'[1]!!!!! AUDIT_TRAIL !!!!'!I6</f>
        <v>0</v>
      </c>
    </row>
    <row r="7" spans="1:9" ht="14.5" x14ac:dyDescent="0.35">
      <c r="A7" s="42" t="str">
        <f>'[1]!!!!! AUDIT_TRAIL !!!!'!A7</f>
        <v>record_status</v>
      </c>
      <c r="B7" s="42" t="str">
        <f>'[1]!!!!! AUDIT_TRAIL !!!!'!B7</f>
        <v>varchar</v>
      </c>
      <c r="C7" s="42">
        <f>'[1]!!!!! AUDIT_TRAIL !!!!'!C7</f>
        <v>10</v>
      </c>
      <c r="D7" s="42" t="str">
        <f>'[1]!!!!! AUDIT_TRAIL !!!!'!D7</f>
        <v>Y</v>
      </c>
      <c r="E7" s="42">
        <f>'[1]!!!!! AUDIT_TRAIL !!!!'!E7</f>
        <v>0</v>
      </c>
      <c r="F7" s="42" t="str">
        <f>'[1]!!!!! AUDIT_TRAIL !!!!'!F7</f>
        <v>Record status</v>
      </c>
      <c r="G7" s="42">
        <f>'[1]!!!!! AUDIT_TRAIL !!!!'!G7</f>
        <v>0</v>
      </c>
      <c r="H7" s="42">
        <f>'[1]!!!!! AUDIT_TRAIL !!!!'!H7</f>
        <v>0</v>
      </c>
      <c r="I7" s="42">
        <f>'[1]!!!!! AUDIT_TRAIL !!!!'!I7</f>
        <v>0</v>
      </c>
    </row>
    <row r="8" spans="1:9" ht="14.5" x14ac:dyDescent="0.35">
      <c r="A8" s="42" t="str">
        <f>'[1]!!!!! AUDIT_TRAIL !!!!'!A8</f>
        <v>curr_no</v>
      </c>
      <c r="B8" s="42" t="str">
        <f>'[1]!!!!! AUDIT_TRAIL !!!!'!B8</f>
        <v>int</v>
      </c>
      <c r="C8" s="42">
        <f>'[1]!!!!! AUDIT_TRAIL !!!!'!C8</f>
        <v>4</v>
      </c>
      <c r="D8" s="42" t="str">
        <f>'[1]!!!!! AUDIT_TRAIL !!!!'!D8</f>
        <v>Y</v>
      </c>
      <c r="E8" s="42">
        <f>'[1]!!!!! AUDIT_TRAIL !!!!'!E8</f>
        <v>0</v>
      </c>
      <c r="F8" s="42" t="str">
        <f>'[1]!!!!! AUDIT_TRAIL !!!!'!F8</f>
        <v>Current no</v>
      </c>
      <c r="G8" s="42">
        <f>'[1]!!!!! AUDIT_TRAIL !!!!'!G8</f>
        <v>0</v>
      </c>
      <c r="H8" s="42">
        <f>'[1]!!!!! AUDIT_TRAIL !!!!'!H8</f>
        <v>0</v>
      </c>
      <c r="I8" s="42">
        <f>'[1]!!!!! AUDIT_TRAIL !!!!'!I8</f>
        <v>0</v>
      </c>
    </row>
    <row r="9" spans="1:9" ht="14.5" x14ac:dyDescent="0.35">
      <c r="A9" s="42" t="str">
        <f>'[1]!!!!! AUDIT_TRAIL !!!!'!A9</f>
        <v>inputter</v>
      </c>
      <c r="B9" s="42" t="str">
        <f>'[1]!!!!! AUDIT_TRAIL !!!!'!B9</f>
        <v>varchar</v>
      </c>
      <c r="C9" s="42">
        <f>'[1]!!!!! AUDIT_TRAIL !!!!'!C9</f>
        <v>50</v>
      </c>
      <c r="D9" s="42" t="str">
        <f>'[1]!!!!! AUDIT_TRAIL !!!!'!D9</f>
        <v>Y</v>
      </c>
      <c r="E9" s="42">
        <f>'[1]!!!!! AUDIT_TRAIL !!!!'!E9</f>
        <v>0</v>
      </c>
      <c r="F9" s="42" t="str">
        <f>'[1]!!!!! AUDIT_TRAIL !!!!'!F9</f>
        <v>User ID user inputter</v>
      </c>
      <c r="G9" s="42">
        <f>'[1]!!!!! AUDIT_TRAIL !!!!'!G9</f>
        <v>0</v>
      </c>
      <c r="H9" s="42">
        <f>'[1]!!!!! AUDIT_TRAIL !!!!'!H9</f>
        <v>0</v>
      </c>
      <c r="I9" s="42">
        <f>'[1]!!!!! AUDIT_TRAIL !!!!'!I9</f>
        <v>0</v>
      </c>
    </row>
    <row r="10" spans="1:9" ht="14.5" x14ac:dyDescent="0.35">
      <c r="A10" s="42" t="str">
        <f>'[1]!!!!! AUDIT_TRAIL !!!!'!A10</f>
        <v>input_datetime</v>
      </c>
      <c r="B10" s="42" t="str">
        <f>'[1]!!!!! AUDIT_TRAIL !!!!'!B10</f>
        <v>bigint</v>
      </c>
      <c r="C10" s="42">
        <f>'[1]!!!!! AUDIT_TRAIL !!!!'!C10</f>
        <v>20</v>
      </c>
      <c r="D10" s="42" t="str">
        <f>'[1]!!!!! AUDIT_TRAIL !!!!'!D10</f>
        <v>Y</v>
      </c>
      <c r="E10" s="42">
        <f>'[1]!!!!! AUDIT_TRAIL !!!!'!E10</f>
        <v>0</v>
      </c>
      <c r="F10" s="42" t="str">
        <f>'[1]!!!!! AUDIT_TRAIL !!!!'!F10</f>
        <v>Input Date time. Format UNIX milisecond</v>
      </c>
      <c r="G10" s="42">
        <f>'[1]!!!!! AUDIT_TRAIL !!!!'!G10</f>
        <v>0</v>
      </c>
      <c r="H10" s="42">
        <f>'[1]!!!!! AUDIT_TRAIL !!!!'!H10</f>
        <v>0</v>
      </c>
      <c r="I10" s="42">
        <f>'[1]!!!!! AUDIT_TRAIL !!!!'!I10</f>
        <v>0</v>
      </c>
    </row>
    <row r="11" spans="1:9" ht="14.5" x14ac:dyDescent="0.35">
      <c r="A11" s="42" t="str">
        <f>'[1]!!!!! AUDIT_TRAIL !!!!'!A11</f>
        <v>authoriser</v>
      </c>
      <c r="B11" s="42" t="str">
        <f>'[1]!!!!! AUDIT_TRAIL !!!!'!B11</f>
        <v>text</v>
      </c>
      <c r="C11" s="42">
        <f>'[1]!!!!! AUDIT_TRAIL !!!!'!C11</f>
        <v>0</v>
      </c>
      <c r="D11" s="42">
        <f>'[1]!!!!! AUDIT_TRAIL !!!!'!D11</f>
        <v>0</v>
      </c>
      <c r="E11" s="42">
        <f>'[1]!!!!! AUDIT_TRAIL !!!!'!E11</f>
        <v>0</v>
      </c>
      <c r="F11" s="42" t="str">
        <f>'[1]!!!!! AUDIT_TRAIL !!!!'!F11</f>
        <v>User ID user authoriser</v>
      </c>
      <c r="G11" s="42">
        <f>'[1]!!!!! AUDIT_TRAIL !!!!'!G11</f>
        <v>0</v>
      </c>
      <c r="H11" s="42">
        <f>'[1]!!!!! AUDIT_TRAIL !!!!'!H11</f>
        <v>0</v>
      </c>
      <c r="I11" s="42">
        <f>'[1]!!!!! AUDIT_TRAIL !!!!'!I11</f>
        <v>0</v>
      </c>
    </row>
    <row r="12" spans="1:9" ht="14.5" x14ac:dyDescent="0.35">
      <c r="A12" s="42" t="str">
        <f>'[1]!!!!! AUDIT_TRAIL !!!!'!A12</f>
        <v>auth_datetime</v>
      </c>
      <c r="B12" s="42" t="str">
        <f>'[1]!!!!! AUDIT_TRAIL !!!!'!B12</f>
        <v>bigint</v>
      </c>
      <c r="C12" s="42">
        <f>'[1]!!!!! AUDIT_TRAIL !!!!'!C12</f>
        <v>20</v>
      </c>
      <c r="D12" s="42">
        <f>'[1]!!!!! AUDIT_TRAIL !!!!'!D12</f>
        <v>0</v>
      </c>
      <c r="E12" s="42">
        <f>'[1]!!!!! AUDIT_TRAIL !!!!'!E12</f>
        <v>0</v>
      </c>
      <c r="F12" s="42" t="str">
        <f>'[1]!!!!! AUDIT_TRAIL !!!!'!F12</f>
        <v>Authoriser Date time. Format UNIX milisecond</v>
      </c>
      <c r="G12" s="42">
        <f>'[1]!!!!! AUDIT_TRAIL !!!!'!G12</f>
        <v>0</v>
      </c>
      <c r="H12" s="42">
        <f>'[1]!!!!! AUDIT_TRAIL !!!!'!H12</f>
        <v>0</v>
      </c>
      <c r="I12" s="42">
        <f>'[1]!!!!! AUDIT_TRAIL !!!!'!I12</f>
        <v>0</v>
      </c>
    </row>
    <row r="13" spans="1:9" ht="14.5" x14ac:dyDescent="0.35">
      <c r="A13" s="42" t="str">
        <f>'[1]!!!!! AUDIT_TRAIL !!!!'!A15</f>
        <v>notes</v>
      </c>
      <c r="B13" s="42" t="str">
        <f>'[1]!!!!! AUDIT_TRAIL !!!!'!B15</f>
        <v>text</v>
      </c>
      <c r="C13" s="42">
        <f>'[1]!!!!! AUDIT_TRAIL !!!!'!C15</f>
        <v>0</v>
      </c>
      <c r="D13" s="42">
        <f>'[1]!!!!! AUDIT_TRAIL !!!!'!D15</f>
        <v>0</v>
      </c>
      <c r="E13" s="42">
        <f>'[1]!!!!! AUDIT_TRAIL !!!!'!E15</f>
        <v>0</v>
      </c>
      <c r="F13" s="42" t="str">
        <f>'[1]!!!!! AUDIT_TRAIL !!!!'!F15</f>
        <v>notes</v>
      </c>
      <c r="G13" s="42">
        <f>'[1]!!!!! AUDIT_TRAIL !!!!'!G15</f>
        <v>0</v>
      </c>
      <c r="H13" s="42">
        <f>'[1]!!!!! AUDIT_TRAIL !!!!'!H15</f>
        <v>0</v>
      </c>
      <c r="I13" s="42">
        <f>'[1]!!!!! AUDIT_TRAIL !!!!'!I15</f>
        <v>0</v>
      </c>
    </row>
    <row r="14" spans="1:9" ht="14.5" x14ac:dyDescent="0.35">
      <c r="A14" s="43" t="s">
        <v>24</v>
      </c>
      <c r="B14" s="43" t="s">
        <v>19</v>
      </c>
      <c r="C14" s="43">
        <v>200</v>
      </c>
      <c r="D14" s="43">
        <v>0</v>
      </c>
      <c r="E14" s="44">
        <v>0</v>
      </c>
      <c r="F14" s="45" t="s">
        <v>49</v>
      </c>
      <c r="G14" s="46"/>
      <c r="H14" s="47"/>
      <c r="I14" s="47"/>
    </row>
    <row r="15" spans="1:9" ht="14.5" x14ac:dyDescent="0.35">
      <c r="A15" s="47" t="s">
        <v>4</v>
      </c>
      <c r="B15" s="43" t="s">
        <v>19</v>
      </c>
      <c r="C15" s="43">
        <v>500</v>
      </c>
      <c r="D15" s="43">
        <v>0</v>
      </c>
      <c r="E15" s="44">
        <v>0</v>
      </c>
      <c r="F15" s="45" t="s">
        <v>66</v>
      </c>
      <c r="G15" s="44"/>
      <c r="H15" s="44"/>
      <c r="I15" s="44"/>
    </row>
    <row r="16" spans="1:9" ht="14.5" x14ac:dyDescent="0.35">
      <c r="A16" s="47" t="s">
        <v>46</v>
      </c>
      <c r="B16" s="43" t="s">
        <v>48</v>
      </c>
      <c r="C16" s="43">
        <v>100</v>
      </c>
      <c r="D16" s="43">
        <v>0</v>
      </c>
      <c r="E16" s="44">
        <v>0</v>
      </c>
      <c r="F16" s="45" t="s">
        <v>50</v>
      </c>
      <c r="G16" s="44"/>
      <c r="H16" s="44"/>
      <c r="I16" s="44"/>
    </row>
    <row r="17" spans="1:9" ht="14.5" x14ac:dyDescent="0.35">
      <c r="A17" s="47" t="s">
        <v>47</v>
      </c>
      <c r="B17" s="43" t="s">
        <v>48</v>
      </c>
      <c r="C17" s="43">
        <v>100</v>
      </c>
      <c r="D17" s="43">
        <v>0</v>
      </c>
      <c r="E17" s="44">
        <v>0</v>
      </c>
      <c r="F17" s="45" t="s">
        <v>51</v>
      </c>
      <c r="G17" s="44"/>
      <c r="H17" s="44"/>
      <c r="I17" s="44"/>
    </row>
    <row r="18" spans="1:9" ht="15" customHeight="1" x14ac:dyDescent="0.35">
      <c r="A18" s="48" t="s">
        <v>27</v>
      </c>
      <c r="B18" s="43" t="s">
        <v>19</v>
      </c>
      <c r="C18" s="43">
        <v>100</v>
      </c>
      <c r="D18" s="43">
        <v>0</v>
      </c>
      <c r="E18" s="44">
        <v>0</v>
      </c>
      <c r="F18" s="48" t="s">
        <v>92</v>
      </c>
      <c r="G18" s="48"/>
      <c r="H18" s="48"/>
      <c r="I18" s="4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64C7A-6A53-4F56-B92C-FC206A0ECAE4}">
  <dimension ref="A1:I30"/>
  <sheetViews>
    <sheetView zoomScale="69" workbookViewId="0">
      <selection activeCell="B18" sqref="B18"/>
    </sheetView>
  </sheetViews>
  <sheetFormatPr defaultColWidth="12.6328125" defaultRowHeight="14.5" x14ac:dyDescent="0.35"/>
  <cols>
    <col min="1" max="1" width="23.81640625" customWidth="1"/>
    <col min="2" max="2" width="9.453125" customWidth="1"/>
    <col min="3" max="4" width="8" customWidth="1"/>
    <col min="5" max="5" width="23.1796875" customWidth="1"/>
    <col min="6" max="6" width="52.6328125" customWidth="1"/>
    <col min="7" max="7" width="16.81640625" customWidth="1"/>
    <col min="8" max="8" width="7.36328125" customWidth="1"/>
    <col min="9" max="9" width="31.1796875" customWidth="1"/>
    <col min="10" max="27" width="8" customWidth="1"/>
  </cols>
  <sheetData>
    <row r="1" spans="1:9" ht="15" customHeight="1" x14ac:dyDescent="0.35">
      <c r="A1" s="6" t="s">
        <v>0</v>
      </c>
      <c r="B1" s="2" t="s">
        <v>42</v>
      </c>
      <c r="C1" s="2"/>
      <c r="D1" s="2"/>
      <c r="E1" s="2"/>
      <c r="F1" s="2"/>
      <c r="G1" s="2"/>
      <c r="H1" s="2"/>
      <c r="I1" s="2"/>
    </row>
    <row r="2" spans="1:9" x14ac:dyDescent="0.35">
      <c r="A2" s="6" t="s">
        <v>2</v>
      </c>
      <c r="B2" s="3" t="s">
        <v>29</v>
      </c>
      <c r="C2" s="3"/>
      <c r="D2" s="3"/>
      <c r="E2" s="4"/>
      <c r="F2" s="3"/>
      <c r="G2" s="5"/>
      <c r="H2" s="3"/>
      <c r="I2" s="3"/>
    </row>
    <row r="3" spans="1:9" x14ac:dyDescent="0.35">
      <c r="A3" s="6" t="s">
        <v>4</v>
      </c>
      <c r="B3" s="3" t="s">
        <v>30</v>
      </c>
      <c r="C3" s="3"/>
      <c r="D3" s="3"/>
      <c r="E3" s="4"/>
      <c r="F3" s="3"/>
      <c r="G3" s="5"/>
      <c r="H3" s="3"/>
      <c r="I3" s="3"/>
    </row>
    <row r="4" spans="1:9" x14ac:dyDescent="0.35">
      <c r="A4" s="7"/>
      <c r="B4" s="8"/>
      <c r="C4" s="8"/>
      <c r="D4" s="8"/>
      <c r="E4" s="9"/>
      <c r="F4" s="8"/>
      <c r="G4" s="10"/>
      <c r="H4" s="8"/>
      <c r="I4" s="8"/>
    </row>
    <row r="5" spans="1:9" x14ac:dyDescent="0.35">
      <c r="A5" s="11" t="s">
        <v>6</v>
      </c>
      <c r="B5" s="11" t="s">
        <v>7</v>
      </c>
      <c r="C5" s="11" t="s">
        <v>8</v>
      </c>
      <c r="D5" s="11" t="s">
        <v>9</v>
      </c>
      <c r="E5" s="12" t="s">
        <v>10</v>
      </c>
      <c r="F5" s="11" t="s">
        <v>11</v>
      </c>
      <c r="G5" s="13" t="s">
        <v>12</v>
      </c>
      <c r="H5" s="11" t="s">
        <v>13</v>
      </c>
      <c r="I5" s="11" t="s">
        <v>14</v>
      </c>
    </row>
    <row r="6" spans="1:9" x14ac:dyDescent="0.35">
      <c r="A6" s="14" t="str">
        <f>'[1]!!!!! AUDIT_TRAIL !!!!'!A6</f>
        <v>recid</v>
      </c>
      <c r="B6" s="14" t="str">
        <f>'[1]!!!!! AUDIT_TRAIL !!!!'!B6</f>
        <v>varchar</v>
      </c>
      <c r="C6" s="15">
        <f>'[1]!!!!! AUDIT_TRAIL !!!!'!C6</f>
        <v>36</v>
      </c>
      <c r="D6" s="15" t="str">
        <f>'[1]!!!!! AUDIT_TRAIL !!!!'!D6</f>
        <v>Y</v>
      </c>
      <c r="E6" s="14">
        <f>'[1]!!!!! AUDIT_TRAIL !!!!'!E6</f>
        <v>0</v>
      </c>
      <c r="F6" s="14" t="str">
        <f>'[1]!!!!! AUDIT_TRAIL !!!!'!F6</f>
        <v>uuid</v>
      </c>
      <c r="G6" s="14" t="str">
        <f>'[1]!!!!! AUDIT_TRAIL !!!!'!G6</f>
        <v>uuid</v>
      </c>
      <c r="H6" s="14">
        <f>'[1]!!!!! AUDIT_TRAIL !!!!'!H6</f>
        <v>0</v>
      </c>
      <c r="I6" s="14">
        <f>'[1]!!!!! AUDIT_TRAIL !!!!'!I6</f>
        <v>0</v>
      </c>
    </row>
    <row r="7" spans="1:9" x14ac:dyDescent="0.35">
      <c r="A7" s="14" t="str">
        <f>'[1]!!!!! AUDIT_TRAIL !!!!'!A7</f>
        <v>record_status</v>
      </c>
      <c r="B7" s="14" t="str">
        <f>'[1]!!!!! AUDIT_TRAIL !!!!'!B7</f>
        <v>varchar</v>
      </c>
      <c r="C7" s="15">
        <f>'[1]!!!!! AUDIT_TRAIL !!!!'!C7</f>
        <v>10</v>
      </c>
      <c r="D7" s="15" t="str">
        <f>'[1]!!!!! AUDIT_TRAIL !!!!'!D7</f>
        <v>Y</v>
      </c>
      <c r="E7" s="14">
        <f>'[1]!!!!! AUDIT_TRAIL !!!!'!E7</f>
        <v>0</v>
      </c>
      <c r="F7" s="14" t="str">
        <f>'[1]!!!!! AUDIT_TRAIL !!!!'!F7</f>
        <v>Record status</v>
      </c>
      <c r="G7" s="14">
        <f>'[1]!!!!! AUDIT_TRAIL !!!!'!G7</f>
        <v>0</v>
      </c>
      <c r="H7" s="14">
        <f>'[1]!!!!! AUDIT_TRAIL !!!!'!H7</f>
        <v>0</v>
      </c>
      <c r="I7" s="14">
        <f>'[1]!!!!! AUDIT_TRAIL !!!!'!I7</f>
        <v>0</v>
      </c>
    </row>
    <row r="8" spans="1:9" x14ac:dyDescent="0.35">
      <c r="A8" s="14" t="str">
        <f>'[1]!!!!! AUDIT_TRAIL !!!!'!A8</f>
        <v>curr_no</v>
      </c>
      <c r="B8" s="14" t="str">
        <f>'[1]!!!!! AUDIT_TRAIL !!!!'!B8</f>
        <v>int</v>
      </c>
      <c r="C8" s="15">
        <f>'[1]!!!!! AUDIT_TRAIL !!!!'!C8</f>
        <v>4</v>
      </c>
      <c r="D8" s="15" t="str">
        <f>'[1]!!!!! AUDIT_TRAIL !!!!'!D8</f>
        <v>Y</v>
      </c>
      <c r="E8" s="14">
        <f>'[1]!!!!! AUDIT_TRAIL !!!!'!E8</f>
        <v>0</v>
      </c>
      <c r="F8" s="14" t="str">
        <f>'[1]!!!!! AUDIT_TRAIL !!!!'!F8</f>
        <v>Current no</v>
      </c>
      <c r="G8" s="14">
        <f>'[1]!!!!! AUDIT_TRAIL !!!!'!G8</f>
        <v>0</v>
      </c>
      <c r="H8" s="14">
        <f>'[1]!!!!! AUDIT_TRAIL !!!!'!H8</f>
        <v>0</v>
      </c>
      <c r="I8" s="14">
        <f>'[1]!!!!! AUDIT_TRAIL !!!!'!I8</f>
        <v>0</v>
      </c>
    </row>
    <row r="9" spans="1:9" x14ac:dyDescent="0.35">
      <c r="A9" s="14" t="str">
        <f>'[1]!!!!! AUDIT_TRAIL !!!!'!A9</f>
        <v>inputter</v>
      </c>
      <c r="B9" s="14" t="str">
        <f>'[1]!!!!! AUDIT_TRAIL !!!!'!B9</f>
        <v>varchar</v>
      </c>
      <c r="C9" s="15">
        <f>'[1]!!!!! AUDIT_TRAIL !!!!'!C9</f>
        <v>50</v>
      </c>
      <c r="D9" s="15" t="str">
        <f>'[1]!!!!! AUDIT_TRAIL !!!!'!D9</f>
        <v>Y</v>
      </c>
      <c r="E9" s="14">
        <f>'[1]!!!!! AUDIT_TRAIL !!!!'!E9</f>
        <v>0</v>
      </c>
      <c r="F9" s="14" t="str">
        <f>'[1]!!!!! AUDIT_TRAIL !!!!'!F9</f>
        <v>User ID user inputter</v>
      </c>
      <c r="G9" s="14">
        <f>'[1]!!!!! AUDIT_TRAIL !!!!'!G9</f>
        <v>0</v>
      </c>
      <c r="H9" s="14">
        <f>'[1]!!!!! AUDIT_TRAIL !!!!'!H9</f>
        <v>0</v>
      </c>
      <c r="I9" s="14">
        <f>'[1]!!!!! AUDIT_TRAIL !!!!'!I9</f>
        <v>0</v>
      </c>
    </row>
    <row r="10" spans="1:9" x14ac:dyDescent="0.35">
      <c r="A10" s="14" t="str">
        <f>'[1]!!!!! AUDIT_TRAIL !!!!'!A10</f>
        <v>input_datetime</v>
      </c>
      <c r="B10" s="14" t="str">
        <f>'[1]!!!!! AUDIT_TRAIL !!!!'!B10</f>
        <v>bigint</v>
      </c>
      <c r="C10" s="15">
        <f>'[1]!!!!! AUDIT_TRAIL !!!!'!C10</f>
        <v>20</v>
      </c>
      <c r="D10" s="15" t="str">
        <f>'[1]!!!!! AUDIT_TRAIL !!!!'!D10</f>
        <v>Y</v>
      </c>
      <c r="E10" s="14">
        <f>'[1]!!!!! AUDIT_TRAIL !!!!'!E10</f>
        <v>0</v>
      </c>
      <c r="F10" s="14" t="str">
        <f>'[1]!!!!! AUDIT_TRAIL !!!!'!F10</f>
        <v>Input Date time. Format UNIX milisecond</v>
      </c>
      <c r="G10" s="14">
        <f>'[1]!!!!! AUDIT_TRAIL !!!!'!G10</f>
        <v>0</v>
      </c>
      <c r="H10" s="14">
        <f>'[1]!!!!! AUDIT_TRAIL !!!!'!H10</f>
        <v>0</v>
      </c>
      <c r="I10" s="14">
        <f>'[1]!!!!! AUDIT_TRAIL !!!!'!I10</f>
        <v>0</v>
      </c>
    </row>
    <row r="11" spans="1:9" x14ac:dyDescent="0.35">
      <c r="A11" s="14" t="str">
        <f>'[1]!!!!! AUDIT_TRAIL !!!!'!A11</f>
        <v>authoriser</v>
      </c>
      <c r="B11" s="14" t="str">
        <f>'[1]!!!!! AUDIT_TRAIL !!!!'!B11</f>
        <v>text</v>
      </c>
      <c r="C11" s="15">
        <f>'[1]!!!!! AUDIT_TRAIL !!!!'!C11</f>
        <v>0</v>
      </c>
      <c r="D11" s="15">
        <f>'[1]!!!!! AUDIT_TRAIL !!!!'!D11</f>
        <v>0</v>
      </c>
      <c r="E11" s="14">
        <f>'[1]!!!!! AUDIT_TRAIL !!!!'!E11</f>
        <v>0</v>
      </c>
      <c r="F11" s="14" t="str">
        <f>'[1]!!!!! AUDIT_TRAIL !!!!'!F11</f>
        <v>User ID user authoriser</v>
      </c>
      <c r="G11" s="14">
        <f>'[1]!!!!! AUDIT_TRAIL !!!!'!G11</f>
        <v>0</v>
      </c>
      <c r="H11" s="14">
        <f>'[1]!!!!! AUDIT_TRAIL !!!!'!H11</f>
        <v>0</v>
      </c>
      <c r="I11" s="14">
        <f>'[1]!!!!! AUDIT_TRAIL !!!!'!I11</f>
        <v>0</v>
      </c>
    </row>
    <row r="12" spans="1:9" x14ac:dyDescent="0.35">
      <c r="A12" s="14" t="str">
        <f>'[1]!!!!! AUDIT_TRAIL !!!!'!A12</f>
        <v>auth_datetime</v>
      </c>
      <c r="B12" s="14" t="str">
        <f>'[1]!!!!! AUDIT_TRAIL !!!!'!B12</f>
        <v>bigint</v>
      </c>
      <c r="C12" s="15">
        <f>'[1]!!!!! AUDIT_TRAIL !!!!'!C12</f>
        <v>20</v>
      </c>
      <c r="D12" s="15">
        <f>'[1]!!!!! AUDIT_TRAIL !!!!'!D12</f>
        <v>0</v>
      </c>
      <c r="E12" s="14">
        <f>'[1]!!!!! AUDIT_TRAIL !!!!'!E12</f>
        <v>0</v>
      </c>
      <c r="F12" s="14" t="str">
        <f>'[1]!!!!! AUDIT_TRAIL !!!!'!F12</f>
        <v>Authoriser Date time. Format UNIX milisecond</v>
      </c>
      <c r="G12" s="14">
        <f>'[1]!!!!! AUDIT_TRAIL !!!!'!G12</f>
        <v>0</v>
      </c>
      <c r="H12" s="14">
        <f>'[1]!!!!! AUDIT_TRAIL !!!!'!H12</f>
        <v>0</v>
      </c>
      <c r="I12" s="14">
        <f>'[1]!!!!! AUDIT_TRAIL !!!!'!I12</f>
        <v>0</v>
      </c>
    </row>
    <row r="13" spans="1:9" hidden="1" x14ac:dyDescent="0.35">
      <c r="A13" s="14" t="str">
        <f>'[1]!!!!! AUDIT_TRAIL !!!!'!A13</f>
        <v>branch_recid</v>
      </c>
      <c r="B13" s="14" t="str">
        <f>'[1]!!!!! AUDIT_TRAIL !!!!'!B13</f>
        <v>varchar</v>
      </c>
      <c r="C13" s="15">
        <f>'[1]!!!!! AUDIT_TRAIL !!!!'!C13</f>
        <v>50</v>
      </c>
      <c r="D13" s="15" t="str">
        <f>'[1]!!!!! AUDIT_TRAIL !!!!'!D13</f>
        <v>Y</v>
      </c>
      <c r="E13" s="14">
        <f>'[1]!!!!! AUDIT_TRAIL !!!!'!E13</f>
        <v>0</v>
      </c>
      <c r="F13" s="14" t="str">
        <f>'[1]!!!!! AUDIT_TRAIL !!!!'!F13</f>
        <v>Branch Recid</v>
      </c>
      <c r="G13" s="14">
        <f>'[1]!!!!! AUDIT_TRAIL !!!!'!G13</f>
        <v>0</v>
      </c>
      <c r="H13" s="14">
        <f>'[1]!!!!! AUDIT_TRAIL !!!!'!H13</f>
        <v>0</v>
      </c>
      <c r="I13" s="14">
        <f>'[1]!!!!! AUDIT_TRAIL !!!!'!I13</f>
        <v>0</v>
      </c>
    </row>
    <row r="14" spans="1:9" x14ac:dyDescent="0.35">
      <c r="A14" s="14" t="str">
        <f>'[1]!!!!! AUDIT_TRAIL !!!!'!A15</f>
        <v>notes</v>
      </c>
      <c r="B14" s="14" t="str">
        <f>'[1]!!!!! AUDIT_TRAIL !!!!'!B15</f>
        <v>text</v>
      </c>
      <c r="C14" s="15">
        <f>'[1]!!!!! AUDIT_TRAIL !!!!'!C15</f>
        <v>0</v>
      </c>
      <c r="D14" s="15">
        <f>'[1]!!!!! AUDIT_TRAIL !!!!'!D15</f>
        <v>0</v>
      </c>
      <c r="E14" s="14">
        <f>'[1]!!!!! AUDIT_TRAIL !!!!'!E15</f>
        <v>0</v>
      </c>
      <c r="F14" s="14" t="str">
        <f>'[1]!!!!! AUDIT_TRAIL !!!!'!F15</f>
        <v>notes</v>
      </c>
      <c r="G14" s="14">
        <f>'[1]!!!!! AUDIT_TRAIL !!!!'!G15</f>
        <v>0</v>
      </c>
      <c r="H14" s="14">
        <f>'[1]!!!!! AUDIT_TRAIL !!!!'!H15</f>
        <v>0</v>
      </c>
      <c r="I14" s="14">
        <f>'[1]!!!!! AUDIT_TRAIL !!!!'!I15</f>
        <v>0</v>
      </c>
    </row>
    <row r="15" spans="1:9" ht="15.75" customHeight="1" x14ac:dyDescent="0.35">
      <c r="A15" s="34" t="s">
        <v>52</v>
      </c>
      <c r="B15" s="35" t="s">
        <v>19</v>
      </c>
      <c r="C15" s="36">
        <v>50</v>
      </c>
      <c r="D15" s="37" t="s">
        <v>20</v>
      </c>
      <c r="E15" s="38"/>
      <c r="F15" s="22" t="s">
        <v>53</v>
      </c>
      <c r="G15" s="39"/>
      <c r="H15" s="40"/>
      <c r="I15" s="40"/>
    </row>
    <row r="16" spans="1:9" x14ac:dyDescent="0.35">
      <c r="A16" s="34" t="s">
        <v>24</v>
      </c>
      <c r="B16" s="35" t="s">
        <v>19</v>
      </c>
      <c r="C16" s="36">
        <v>50</v>
      </c>
      <c r="D16" s="37" t="s">
        <v>20</v>
      </c>
      <c r="E16" s="38"/>
      <c r="F16" s="22" t="s">
        <v>25</v>
      </c>
      <c r="G16" s="39"/>
      <c r="H16" s="40"/>
      <c r="I16" s="40"/>
    </row>
    <row r="17" spans="1:9" x14ac:dyDescent="0.35">
      <c r="A17" s="34" t="s">
        <v>32</v>
      </c>
      <c r="B17" s="35" t="s">
        <v>28</v>
      </c>
      <c r="C17" s="36">
        <v>100</v>
      </c>
      <c r="D17" s="37" t="s">
        <v>20</v>
      </c>
      <c r="E17" s="38"/>
      <c r="F17" s="22" t="s">
        <v>31</v>
      </c>
      <c r="G17" s="39"/>
      <c r="H17" s="40"/>
      <c r="I17" s="40"/>
    </row>
    <row r="18" spans="1:9" x14ac:dyDescent="0.35">
      <c r="A18" s="34" t="s">
        <v>33</v>
      </c>
      <c r="B18" s="35" t="s">
        <v>26</v>
      </c>
      <c r="C18" s="36">
        <v>0</v>
      </c>
      <c r="D18" s="37">
        <v>0</v>
      </c>
      <c r="E18" s="38"/>
      <c r="F18" s="22" t="s">
        <v>35</v>
      </c>
      <c r="G18" s="39"/>
      <c r="H18" s="40"/>
      <c r="I18" s="40"/>
    </row>
    <row r="19" spans="1:9" x14ac:dyDescent="0.35">
      <c r="A19" s="34" t="s">
        <v>34</v>
      </c>
      <c r="B19" s="35" t="s">
        <v>26</v>
      </c>
      <c r="C19" s="36">
        <v>0</v>
      </c>
      <c r="D19" s="37">
        <v>0</v>
      </c>
      <c r="E19" s="38"/>
      <c r="F19" s="22" t="s">
        <v>36</v>
      </c>
      <c r="G19" s="39"/>
      <c r="H19" s="40"/>
      <c r="I19" s="40"/>
    </row>
    <row r="20" spans="1:9" x14ac:dyDescent="0.35">
      <c r="A20" s="34" t="s">
        <v>37</v>
      </c>
      <c r="B20" s="35" t="s">
        <v>38</v>
      </c>
      <c r="C20" s="36">
        <v>0</v>
      </c>
      <c r="D20" s="37">
        <v>0</v>
      </c>
      <c r="E20" s="38"/>
      <c r="F20" s="22" t="s">
        <v>41</v>
      </c>
      <c r="G20" s="39"/>
      <c r="H20" s="40"/>
      <c r="I20" s="40"/>
    </row>
    <row r="21" spans="1:9" x14ac:dyDescent="0.35">
      <c r="A21" s="34" t="s">
        <v>39</v>
      </c>
      <c r="B21" s="35" t="s">
        <v>28</v>
      </c>
      <c r="C21" s="36">
        <v>100</v>
      </c>
      <c r="D21" s="37">
        <v>0</v>
      </c>
      <c r="E21" s="38"/>
      <c r="F21" s="22" t="s">
        <v>40</v>
      </c>
      <c r="G21" s="39"/>
      <c r="H21" s="40"/>
      <c r="I21" s="40"/>
    </row>
    <row r="22" spans="1:9" x14ac:dyDescent="0.35">
      <c r="A22" s="34"/>
      <c r="B22" s="35"/>
      <c r="C22" s="36"/>
      <c r="D22" s="37"/>
      <c r="E22" s="38"/>
      <c r="F22" s="22"/>
      <c r="G22" s="39"/>
      <c r="H22" s="40"/>
      <c r="I22" s="40"/>
    </row>
    <row r="23" spans="1:9" x14ac:dyDescent="0.35">
      <c r="A23" s="34"/>
      <c r="B23" s="35"/>
      <c r="C23" s="36"/>
      <c r="D23" s="37"/>
      <c r="E23" s="38"/>
      <c r="F23" s="22"/>
      <c r="G23" s="39"/>
      <c r="H23" s="40"/>
      <c r="I23" s="40"/>
    </row>
    <row r="24" spans="1:9" x14ac:dyDescent="0.35">
      <c r="A24" s="34"/>
      <c r="B24" s="35"/>
      <c r="C24" s="36"/>
      <c r="D24" s="37"/>
      <c r="E24" s="38"/>
      <c r="F24" s="22"/>
      <c r="G24" s="39"/>
      <c r="H24" s="40"/>
      <c r="I24" s="40"/>
    </row>
    <row r="25" spans="1:9" x14ac:dyDescent="0.35">
      <c r="A25" s="34"/>
      <c r="B25" s="35"/>
      <c r="C25" s="36"/>
      <c r="D25" s="37"/>
      <c r="E25" s="38"/>
      <c r="F25" s="22"/>
      <c r="G25" s="39"/>
      <c r="H25" s="40"/>
      <c r="I25" s="40"/>
    </row>
    <row r="26" spans="1:9" x14ac:dyDescent="0.35">
      <c r="A26" s="34"/>
      <c r="B26" s="35"/>
      <c r="C26" s="36"/>
      <c r="D26" s="37"/>
      <c r="E26" s="38"/>
      <c r="F26" s="22"/>
      <c r="G26" s="39"/>
      <c r="H26" s="40"/>
      <c r="I26" s="40"/>
    </row>
    <row r="27" spans="1:9" x14ac:dyDescent="0.35">
      <c r="A27" s="34"/>
      <c r="B27" s="35"/>
      <c r="C27" s="36"/>
      <c r="D27" s="37"/>
      <c r="E27" s="38"/>
      <c r="F27" s="22"/>
      <c r="G27" s="39"/>
      <c r="H27" s="40"/>
      <c r="I27" s="40"/>
    </row>
    <row r="28" spans="1:9" x14ac:dyDescent="0.35">
      <c r="A28" s="34"/>
      <c r="B28" s="35"/>
      <c r="C28" s="36"/>
      <c r="D28" s="37"/>
      <c r="E28" s="38"/>
      <c r="F28" s="22"/>
      <c r="G28" s="39"/>
      <c r="H28" s="40"/>
      <c r="I28" s="40"/>
    </row>
    <row r="29" spans="1:9" ht="15.75" customHeight="1" x14ac:dyDescent="0.35">
      <c r="A29" s="34"/>
      <c r="B29" s="35"/>
      <c r="C29" s="36"/>
      <c r="D29" s="37"/>
      <c r="E29" s="38"/>
      <c r="F29" s="22"/>
      <c r="G29" s="39"/>
      <c r="H29" s="40"/>
      <c r="I29" s="40"/>
    </row>
    <row r="30" spans="1:9" x14ac:dyDescent="0.35">
      <c r="A30" s="34"/>
      <c r="B30" s="35"/>
      <c r="C30" s="36"/>
      <c r="D30" s="37"/>
      <c r="E30" s="38"/>
      <c r="F30" s="22"/>
      <c r="G30" s="39"/>
      <c r="H30" s="40"/>
      <c r="I30" s="4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D62A8-4895-4F8C-8512-89C0CEB90BE2}">
  <dimension ref="A1:I30"/>
  <sheetViews>
    <sheetView zoomScale="62" workbookViewId="0">
      <selection activeCell="A15" sqref="A15:A17"/>
    </sheetView>
  </sheetViews>
  <sheetFormatPr defaultColWidth="12.6328125" defaultRowHeight="14.5" x14ac:dyDescent="0.35"/>
  <cols>
    <col min="1" max="1" width="23.81640625" customWidth="1"/>
    <col min="2" max="2" width="9.453125" customWidth="1"/>
    <col min="3" max="4" width="8" customWidth="1"/>
    <col min="5" max="5" width="23.1796875" customWidth="1"/>
    <col min="6" max="6" width="52.6328125" customWidth="1"/>
    <col min="7" max="7" width="16.81640625" customWidth="1"/>
    <col min="8" max="8" width="7.36328125" customWidth="1"/>
    <col min="9" max="9" width="31.1796875" customWidth="1"/>
    <col min="10" max="27" width="8" customWidth="1"/>
  </cols>
  <sheetData>
    <row r="1" spans="1:9" ht="15" customHeight="1" x14ac:dyDescent="0.35">
      <c r="A1" s="6" t="s">
        <v>0</v>
      </c>
      <c r="B1" s="2" t="s">
        <v>42</v>
      </c>
      <c r="C1" s="2"/>
      <c r="D1" s="2"/>
      <c r="E1" s="2"/>
      <c r="F1" s="2"/>
      <c r="G1" s="2"/>
      <c r="H1" s="2"/>
      <c r="I1" s="2"/>
    </row>
    <row r="2" spans="1:9" x14ac:dyDescent="0.35">
      <c r="A2" s="6" t="s">
        <v>2</v>
      </c>
      <c r="B2" s="3" t="s">
        <v>54</v>
      </c>
      <c r="C2" s="3"/>
      <c r="D2" s="3"/>
      <c r="E2" s="4"/>
      <c r="F2" s="3"/>
      <c r="G2" s="5"/>
      <c r="H2" s="3"/>
      <c r="I2" s="3"/>
    </row>
    <row r="3" spans="1:9" x14ac:dyDescent="0.35">
      <c r="A3" s="6" t="s">
        <v>4</v>
      </c>
      <c r="B3" s="3" t="s">
        <v>55</v>
      </c>
      <c r="C3" s="3"/>
      <c r="D3" s="3"/>
      <c r="E3" s="4"/>
      <c r="F3" s="3"/>
      <c r="G3" s="5"/>
      <c r="H3" s="3"/>
      <c r="I3" s="3"/>
    </row>
    <row r="4" spans="1:9" x14ac:dyDescent="0.35">
      <c r="A4" s="7"/>
      <c r="B4" s="8"/>
      <c r="C4" s="8"/>
      <c r="D4" s="8"/>
      <c r="E4" s="9"/>
      <c r="F4" s="8"/>
      <c r="G4" s="10"/>
      <c r="H4" s="8"/>
      <c r="I4" s="8"/>
    </row>
    <row r="5" spans="1:9" x14ac:dyDescent="0.35">
      <c r="A5" s="11" t="s">
        <v>6</v>
      </c>
      <c r="B5" s="11" t="s">
        <v>7</v>
      </c>
      <c r="C5" s="11" t="s">
        <v>8</v>
      </c>
      <c r="D5" s="11" t="s">
        <v>9</v>
      </c>
      <c r="E5" s="12" t="s">
        <v>10</v>
      </c>
      <c r="F5" s="11" t="s">
        <v>11</v>
      </c>
      <c r="G5" s="13" t="s">
        <v>12</v>
      </c>
      <c r="H5" s="11" t="s">
        <v>13</v>
      </c>
      <c r="I5" s="11" t="s">
        <v>14</v>
      </c>
    </row>
    <row r="6" spans="1:9" x14ac:dyDescent="0.35">
      <c r="A6" s="14" t="str">
        <f>'[1]!!!!! AUDIT_TRAIL !!!!'!A6</f>
        <v>recid</v>
      </c>
      <c r="B6" s="14" t="str">
        <f>'[1]!!!!! AUDIT_TRAIL !!!!'!B6</f>
        <v>varchar</v>
      </c>
      <c r="C6" s="15">
        <f>'[1]!!!!! AUDIT_TRAIL !!!!'!C6</f>
        <v>36</v>
      </c>
      <c r="D6" s="15" t="str">
        <f>'[1]!!!!! AUDIT_TRAIL !!!!'!D6</f>
        <v>Y</v>
      </c>
      <c r="E6" s="14">
        <f>'[1]!!!!! AUDIT_TRAIL !!!!'!E6</f>
        <v>0</v>
      </c>
      <c r="F6" s="14" t="str">
        <f>'[1]!!!!! AUDIT_TRAIL !!!!'!F6</f>
        <v>uuid</v>
      </c>
      <c r="G6" s="14" t="str">
        <f>'[1]!!!!! AUDIT_TRAIL !!!!'!G6</f>
        <v>uuid</v>
      </c>
      <c r="H6" s="14">
        <f>'[1]!!!!! AUDIT_TRAIL !!!!'!H6</f>
        <v>0</v>
      </c>
      <c r="I6" s="14">
        <f>'[1]!!!!! AUDIT_TRAIL !!!!'!I6</f>
        <v>0</v>
      </c>
    </row>
    <row r="7" spans="1:9" x14ac:dyDescent="0.35">
      <c r="A7" s="14" t="str">
        <f>'[1]!!!!! AUDIT_TRAIL !!!!'!A7</f>
        <v>record_status</v>
      </c>
      <c r="B7" s="14" t="str">
        <f>'[1]!!!!! AUDIT_TRAIL !!!!'!B7</f>
        <v>varchar</v>
      </c>
      <c r="C7" s="15">
        <f>'[1]!!!!! AUDIT_TRAIL !!!!'!C7</f>
        <v>10</v>
      </c>
      <c r="D7" s="15" t="str">
        <f>'[1]!!!!! AUDIT_TRAIL !!!!'!D7</f>
        <v>Y</v>
      </c>
      <c r="E7" s="14">
        <f>'[1]!!!!! AUDIT_TRAIL !!!!'!E7</f>
        <v>0</v>
      </c>
      <c r="F7" s="14" t="str">
        <f>'[1]!!!!! AUDIT_TRAIL !!!!'!F7</f>
        <v>Record status</v>
      </c>
      <c r="G7" s="14">
        <f>'[1]!!!!! AUDIT_TRAIL !!!!'!G7</f>
        <v>0</v>
      </c>
      <c r="H7" s="14">
        <f>'[1]!!!!! AUDIT_TRAIL !!!!'!H7</f>
        <v>0</v>
      </c>
      <c r="I7" s="14">
        <f>'[1]!!!!! AUDIT_TRAIL !!!!'!I7</f>
        <v>0</v>
      </c>
    </row>
    <row r="8" spans="1:9" x14ac:dyDescent="0.35">
      <c r="A8" s="14" t="str">
        <f>'[1]!!!!! AUDIT_TRAIL !!!!'!A8</f>
        <v>curr_no</v>
      </c>
      <c r="B8" s="14" t="str">
        <f>'[1]!!!!! AUDIT_TRAIL !!!!'!B8</f>
        <v>int</v>
      </c>
      <c r="C8" s="15">
        <f>'[1]!!!!! AUDIT_TRAIL !!!!'!C8</f>
        <v>4</v>
      </c>
      <c r="D8" s="15" t="str">
        <f>'[1]!!!!! AUDIT_TRAIL !!!!'!D8</f>
        <v>Y</v>
      </c>
      <c r="E8" s="14">
        <f>'[1]!!!!! AUDIT_TRAIL !!!!'!E8</f>
        <v>0</v>
      </c>
      <c r="F8" s="14" t="str">
        <f>'[1]!!!!! AUDIT_TRAIL !!!!'!F8</f>
        <v>Current no</v>
      </c>
      <c r="G8" s="14">
        <f>'[1]!!!!! AUDIT_TRAIL !!!!'!G8</f>
        <v>0</v>
      </c>
      <c r="H8" s="14">
        <f>'[1]!!!!! AUDIT_TRAIL !!!!'!H8</f>
        <v>0</v>
      </c>
      <c r="I8" s="14">
        <f>'[1]!!!!! AUDIT_TRAIL !!!!'!I8</f>
        <v>0</v>
      </c>
    </row>
    <row r="9" spans="1:9" x14ac:dyDescent="0.35">
      <c r="A9" s="14" t="str">
        <f>'[1]!!!!! AUDIT_TRAIL !!!!'!A9</f>
        <v>inputter</v>
      </c>
      <c r="B9" s="14" t="str">
        <f>'[1]!!!!! AUDIT_TRAIL !!!!'!B9</f>
        <v>varchar</v>
      </c>
      <c r="C9" s="15">
        <f>'[1]!!!!! AUDIT_TRAIL !!!!'!C9</f>
        <v>50</v>
      </c>
      <c r="D9" s="15" t="str">
        <f>'[1]!!!!! AUDIT_TRAIL !!!!'!D9</f>
        <v>Y</v>
      </c>
      <c r="E9" s="14">
        <f>'[1]!!!!! AUDIT_TRAIL !!!!'!E9</f>
        <v>0</v>
      </c>
      <c r="F9" s="14" t="str">
        <f>'[1]!!!!! AUDIT_TRAIL !!!!'!F9</f>
        <v>User ID user inputter</v>
      </c>
      <c r="G9" s="14">
        <f>'[1]!!!!! AUDIT_TRAIL !!!!'!G9</f>
        <v>0</v>
      </c>
      <c r="H9" s="14">
        <f>'[1]!!!!! AUDIT_TRAIL !!!!'!H9</f>
        <v>0</v>
      </c>
      <c r="I9" s="14">
        <f>'[1]!!!!! AUDIT_TRAIL !!!!'!I9</f>
        <v>0</v>
      </c>
    </row>
    <row r="10" spans="1:9" x14ac:dyDescent="0.35">
      <c r="A10" s="14" t="str">
        <f>'[1]!!!!! AUDIT_TRAIL !!!!'!A10</f>
        <v>input_datetime</v>
      </c>
      <c r="B10" s="14" t="str">
        <f>'[1]!!!!! AUDIT_TRAIL !!!!'!B10</f>
        <v>bigint</v>
      </c>
      <c r="C10" s="15">
        <f>'[1]!!!!! AUDIT_TRAIL !!!!'!C10</f>
        <v>20</v>
      </c>
      <c r="D10" s="15" t="str">
        <f>'[1]!!!!! AUDIT_TRAIL !!!!'!D10</f>
        <v>Y</v>
      </c>
      <c r="E10" s="14">
        <f>'[1]!!!!! AUDIT_TRAIL !!!!'!E10</f>
        <v>0</v>
      </c>
      <c r="F10" s="14" t="str">
        <f>'[1]!!!!! AUDIT_TRAIL !!!!'!F10</f>
        <v>Input Date time. Format UNIX milisecond</v>
      </c>
      <c r="G10" s="14">
        <f>'[1]!!!!! AUDIT_TRAIL !!!!'!G10</f>
        <v>0</v>
      </c>
      <c r="H10" s="14">
        <f>'[1]!!!!! AUDIT_TRAIL !!!!'!H10</f>
        <v>0</v>
      </c>
      <c r="I10" s="14">
        <f>'[1]!!!!! AUDIT_TRAIL !!!!'!I10</f>
        <v>0</v>
      </c>
    </row>
    <row r="11" spans="1:9" x14ac:dyDescent="0.35">
      <c r="A11" s="14" t="str">
        <f>'[1]!!!!! AUDIT_TRAIL !!!!'!A11</f>
        <v>authoriser</v>
      </c>
      <c r="B11" s="14" t="str">
        <f>'[1]!!!!! AUDIT_TRAIL !!!!'!B11</f>
        <v>text</v>
      </c>
      <c r="C11" s="15">
        <f>'[1]!!!!! AUDIT_TRAIL !!!!'!C11</f>
        <v>0</v>
      </c>
      <c r="D11" s="15">
        <f>'[1]!!!!! AUDIT_TRAIL !!!!'!D11</f>
        <v>0</v>
      </c>
      <c r="E11" s="14">
        <f>'[1]!!!!! AUDIT_TRAIL !!!!'!E11</f>
        <v>0</v>
      </c>
      <c r="F11" s="14" t="str">
        <f>'[1]!!!!! AUDIT_TRAIL !!!!'!F11</f>
        <v>User ID user authoriser</v>
      </c>
      <c r="G11" s="14">
        <f>'[1]!!!!! AUDIT_TRAIL !!!!'!G11</f>
        <v>0</v>
      </c>
      <c r="H11" s="14">
        <f>'[1]!!!!! AUDIT_TRAIL !!!!'!H11</f>
        <v>0</v>
      </c>
      <c r="I11" s="14">
        <f>'[1]!!!!! AUDIT_TRAIL !!!!'!I11</f>
        <v>0</v>
      </c>
    </row>
    <row r="12" spans="1:9" x14ac:dyDescent="0.35">
      <c r="A12" s="14" t="str">
        <f>'[1]!!!!! AUDIT_TRAIL !!!!'!A12</f>
        <v>auth_datetime</v>
      </c>
      <c r="B12" s="14" t="str">
        <f>'[1]!!!!! AUDIT_TRAIL !!!!'!B12</f>
        <v>bigint</v>
      </c>
      <c r="C12" s="15">
        <f>'[1]!!!!! AUDIT_TRAIL !!!!'!C12</f>
        <v>20</v>
      </c>
      <c r="D12" s="15">
        <f>'[1]!!!!! AUDIT_TRAIL !!!!'!D12</f>
        <v>0</v>
      </c>
      <c r="E12" s="14">
        <f>'[1]!!!!! AUDIT_TRAIL !!!!'!E12</f>
        <v>0</v>
      </c>
      <c r="F12" s="14" t="str">
        <f>'[1]!!!!! AUDIT_TRAIL !!!!'!F12</f>
        <v>Authoriser Date time. Format UNIX milisecond</v>
      </c>
      <c r="G12" s="14">
        <f>'[1]!!!!! AUDIT_TRAIL !!!!'!G12</f>
        <v>0</v>
      </c>
      <c r="H12" s="14">
        <f>'[1]!!!!! AUDIT_TRAIL !!!!'!H12</f>
        <v>0</v>
      </c>
      <c r="I12" s="14">
        <f>'[1]!!!!! AUDIT_TRAIL !!!!'!I12</f>
        <v>0</v>
      </c>
    </row>
    <row r="13" spans="1:9" hidden="1" x14ac:dyDescent="0.35">
      <c r="A13" s="14" t="str">
        <f>'[1]!!!!! AUDIT_TRAIL !!!!'!A13</f>
        <v>branch_recid</v>
      </c>
      <c r="B13" s="14" t="str">
        <f>'[1]!!!!! AUDIT_TRAIL !!!!'!B13</f>
        <v>varchar</v>
      </c>
      <c r="C13" s="15">
        <f>'[1]!!!!! AUDIT_TRAIL !!!!'!C13</f>
        <v>50</v>
      </c>
      <c r="D13" s="15" t="str">
        <f>'[1]!!!!! AUDIT_TRAIL !!!!'!D13</f>
        <v>Y</v>
      </c>
      <c r="E13" s="14">
        <f>'[1]!!!!! AUDIT_TRAIL !!!!'!E13</f>
        <v>0</v>
      </c>
      <c r="F13" s="14" t="str">
        <f>'[1]!!!!! AUDIT_TRAIL !!!!'!F13</f>
        <v>Branch Recid</v>
      </c>
      <c r="G13" s="14">
        <f>'[1]!!!!! AUDIT_TRAIL !!!!'!G13</f>
        <v>0</v>
      </c>
      <c r="H13" s="14">
        <f>'[1]!!!!! AUDIT_TRAIL !!!!'!H13</f>
        <v>0</v>
      </c>
      <c r="I13" s="14">
        <f>'[1]!!!!! AUDIT_TRAIL !!!!'!I13</f>
        <v>0</v>
      </c>
    </row>
    <row r="14" spans="1:9" x14ac:dyDescent="0.35">
      <c r="A14" s="14" t="str">
        <f>'[1]!!!!! AUDIT_TRAIL !!!!'!A15</f>
        <v>notes</v>
      </c>
      <c r="B14" s="14" t="str">
        <f>'[1]!!!!! AUDIT_TRAIL !!!!'!B15</f>
        <v>text</v>
      </c>
      <c r="C14" s="15">
        <f>'[1]!!!!! AUDIT_TRAIL !!!!'!C15</f>
        <v>0</v>
      </c>
      <c r="D14" s="15">
        <f>'[1]!!!!! AUDIT_TRAIL !!!!'!D15</f>
        <v>0</v>
      </c>
      <c r="E14" s="14">
        <f>'[1]!!!!! AUDIT_TRAIL !!!!'!E15</f>
        <v>0</v>
      </c>
      <c r="F14" s="14" t="str">
        <f>'[1]!!!!! AUDIT_TRAIL !!!!'!F15</f>
        <v>notes</v>
      </c>
      <c r="G14" s="14">
        <f>'[1]!!!!! AUDIT_TRAIL !!!!'!G15</f>
        <v>0</v>
      </c>
      <c r="H14" s="14">
        <f>'[1]!!!!! AUDIT_TRAIL !!!!'!H15</f>
        <v>0</v>
      </c>
      <c r="I14" s="14">
        <f>'[1]!!!!! AUDIT_TRAIL !!!!'!I15</f>
        <v>0</v>
      </c>
    </row>
    <row r="15" spans="1:9" ht="15.75" customHeight="1" x14ac:dyDescent="0.35">
      <c r="A15" s="34" t="s">
        <v>52</v>
      </c>
      <c r="B15" s="35" t="s">
        <v>19</v>
      </c>
      <c r="C15" s="36">
        <v>50</v>
      </c>
      <c r="D15" s="37" t="s">
        <v>20</v>
      </c>
      <c r="E15" s="38"/>
      <c r="F15" s="22" t="s">
        <v>53</v>
      </c>
      <c r="G15" s="39"/>
      <c r="H15" s="40"/>
      <c r="I15" s="40"/>
    </row>
    <row r="16" spans="1:9" x14ac:dyDescent="0.35">
      <c r="A16" s="34" t="s">
        <v>56</v>
      </c>
      <c r="B16" s="35" t="s">
        <v>19</v>
      </c>
      <c r="C16" s="36">
        <v>50</v>
      </c>
      <c r="D16" s="37" t="s">
        <v>20</v>
      </c>
      <c r="E16" s="38"/>
      <c r="F16" s="22" t="s">
        <v>57</v>
      </c>
      <c r="G16" s="39"/>
      <c r="H16" s="40"/>
      <c r="I16" s="40"/>
    </row>
    <row r="17" spans="1:9" x14ac:dyDescent="0.35">
      <c r="A17" s="34" t="s">
        <v>58</v>
      </c>
      <c r="B17" s="35" t="s">
        <v>19</v>
      </c>
      <c r="C17" s="36">
        <v>50</v>
      </c>
      <c r="D17" s="37">
        <v>0</v>
      </c>
      <c r="E17" s="38"/>
      <c r="F17" s="22" t="s">
        <v>59</v>
      </c>
      <c r="G17" s="39"/>
      <c r="H17" s="40"/>
      <c r="I17" s="40"/>
    </row>
    <row r="18" spans="1:9" x14ac:dyDescent="0.35">
      <c r="A18" s="34"/>
      <c r="B18" s="35"/>
      <c r="C18" s="36"/>
      <c r="D18" s="37"/>
      <c r="E18" s="38"/>
      <c r="F18" s="22"/>
      <c r="G18" s="39"/>
      <c r="H18" s="40"/>
      <c r="I18" s="40"/>
    </row>
    <row r="19" spans="1:9" x14ac:dyDescent="0.35">
      <c r="A19" s="34"/>
      <c r="B19" s="35"/>
      <c r="C19" s="36"/>
      <c r="D19" s="37"/>
      <c r="E19" s="38"/>
      <c r="F19" s="22"/>
      <c r="G19" s="39"/>
      <c r="H19" s="40"/>
      <c r="I19" s="40"/>
    </row>
    <row r="20" spans="1:9" x14ac:dyDescent="0.35">
      <c r="A20" s="34"/>
      <c r="B20" s="35"/>
      <c r="C20" s="36"/>
      <c r="D20" s="37"/>
      <c r="E20" s="38"/>
      <c r="F20" s="22"/>
      <c r="G20" s="39"/>
      <c r="H20" s="40"/>
      <c r="I20" s="40"/>
    </row>
    <row r="21" spans="1:9" x14ac:dyDescent="0.35">
      <c r="A21" s="34"/>
      <c r="B21" s="35"/>
      <c r="C21" s="36"/>
      <c r="D21" s="37"/>
      <c r="E21" s="38"/>
      <c r="F21" s="22"/>
      <c r="G21" s="39"/>
      <c r="H21" s="40"/>
      <c r="I21" s="40"/>
    </row>
    <row r="22" spans="1:9" x14ac:dyDescent="0.35">
      <c r="A22" s="34"/>
      <c r="B22" s="35"/>
      <c r="C22" s="36"/>
      <c r="D22" s="37"/>
      <c r="E22" s="38"/>
      <c r="F22" s="22"/>
      <c r="G22" s="39"/>
      <c r="H22" s="40"/>
      <c r="I22" s="40"/>
    </row>
    <row r="23" spans="1:9" x14ac:dyDescent="0.35">
      <c r="A23" s="34"/>
      <c r="B23" s="35"/>
      <c r="C23" s="36"/>
      <c r="D23" s="37"/>
      <c r="E23" s="38"/>
      <c r="F23" s="22"/>
      <c r="G23" s="39"/>
      <c r="H23" s="40"/>
      <c r="I23" s="40"/>
    </row>
    <row r="24" spans="1:9" x14ac:dyDescent="0.35">
      <c r="A24" s="34"/>
      <c r="B24" s="35"/>
      <c r="C24" s="36"/>
      <c r="D24" s="37"/>
      <c r="E24" s="38"/>
      <c r="F24" s="22"/>
      <c r="G24" s="39"/>
      <c r="H24" s="40"/>
      <c r="I24" s="40"/>
    </row>
    <row r="25" spans="1:9" x14ac:dyDescent="0.35">
      <c r="A25" s="34"/>
      <c r="B25" s="35"/>
      <c r="C25" s="36"/>
      <c r="D25" s="37"/>
      <c r="E25" s="38"/>
      <c r="F25" s="22"/>
      <c r="G25" s="39"/>
      <c r="H25" s="40"/>
      <c r="I25" s="40"/>
    </row>
    <row r="26" spans="1:9" x14ac:dyDescent="0.35">
      <c r="A26" s="34"/>
      <c r="B26" s="35"/>
      <c r="C26" s="36"/>
      <c r="D26" s="37"/>
      <c r="E26" s="38"/>
      <c r="F26" s="22"/>
      <c r="G26" s="39"/>
      <c r="H26" s="40"/>
      <c r="I26" s="40"/>
    </row>
    <row r="27" spans="1:9" x14ac:dyDescent="0.35">
      <c r="A27" s="34"/>
      <c r="B27" s="35"/>
      <c r="C27" s="36"/>
      <c r="D27" s="37"/>
      <c r="E27" s="38"/>
      <c r="F27" s="22"/>
      <c r="G27" s="39"/>
      <c r="H27" s="40"/>
      <c r="I27" s="40"/>
    </row>
    <row r="28" spans="1:9" x14ac:dyDescent="0.35">
      <c r="A28" s="34"/>
      <c r="B28" s="35"/>
      <c r="C28" s="36"/>
      <c r="D28" s="37"/>
      <c r="E28" s="38"/>
      <c r="F28" s="22"/>
      <c r="G28" s="39"/>
      <c r="H28" s="40"/>
      <c r="I28" s="40"/>
    </row>
    <row r="29" spans="1:9" ht="15.75" customHeight="1" x14ac:dyDescent="0.35">
      <c r="A29" s="34"/>
      <c r="B29" s="35"/>
      <c r="C29" s="36"/>
      <c r="D29" s="37"/>
      <c r="E29" s="38"/>
      <c r="F29" s="22"/>
      <c r="G29" s="39"/>
      <c r="H29" s="40"/>
      <c r="I29" s="40"/>
    </row>
    <row r="30" spans="1:9" x14ac:dyDescent="0.35">
      <c r="A30" s="34"/>
      <c r="B30" s="35"/>
      <c r="C30" s="36"/>
      <c r="D30" s="37"/>
      <c r="E30" s="38"/>
      <c r="F30" s="22"/>
      <c r="G30" s="39"/>
      <c r="H30" s="40"/>
      <c r="I30" s="4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2EB93-6083-438A-A0EC-2106BC7D2492}">
  <dimension ref="L3:U8"/>
  <sheetViews>
    <sheetView topLeftCell="N1" zoomScale="77" workbookViewId="0">
      <selection activeCell="Q6" sqref="Q6"/>
    </sheetView>
  </sheetViews>
  <sheetFormatPr defaultRowHeight="14.5" x14ac:dyDescent="0.35"/>
  <cols>
    <col min="12" max="12" width="8.7265625" style="57"/>
    <col min="13" max="13" width="26.90625" customWidth="1"/>
    <col min="14" max="14" width="45.81640625" customWidth="1"/>
    <col min="15" max="15" width="13.36328125" bestFit="1" customWidth="1"/>
    <col min="16" max="16" width="13.36328125" customWidth="1"/>
    <col min="18" max="18" width="29.81640625" customWidth="1"/>
    <col min="19" max="19" width="28.7265625" customWidth="1"/>
    <col min="20" max="20" width="15.7265625" customWidth="1"/>
  </cols>
  <sheetData>
    <row r="3" spans="12:21" x14ac:dyDescent="0.35">
      <c r="L3" s="55" t="s">
        <v>60</v>
      </c>
      <c r="M3" s="49" t="s">
        <v>25</v>
      </c>
      <c r="N3" s="49" t="s">
        <v>4</v>
      </c>
      <c r="O3" s="49" t="s">
        <v>72</v>
      </c>
      <c r="P3" s="49" t="s">
        <v>71</v>
      </c>
      <c r="Q3" s="49" t="s">
        <v>61</v>
      </c>
      <c r="R3" s="49" t="s">
        <v>62</v>
      </c>
      <c r="S3" s="49" t="s">
        <v>63</v>
      </c>
      <c r="T3" s="49" t="s">
        <v>64</v>
      </c>
      <c r="U3" s="50"/>
    </row>
    <row r="4" spans="12:21" ht="25" x14ac:dyDescent="0.35">
      <c r="L4" s="56">
        <v>1</v>
      </c>
      <c r="M4" s="51" t="s">
        <v>67</v>
      </c>
      <c r="N4" s="50" t="s">
        <v>69</v>
      </c>
      <c r="O4" s="51" t="s">
        <v>73</v>
      </c>
      <c r="P4" s="51" t="s">
        <v>75</v>
      </c>
      <c r="Q4" s="50" t="s">
        <v>93</v>
      </c>
      <c r="R4" s="51" t="s">
        <v>65</v>
      </c>
      <c r="S4" s="52" t="s">
        <v>65</v>
      </c>
      <c r="T4" s="50"/>
      <c r="U4" s="50"/>
    </row>
    <row r="5" spans="12:21" ht="25" x14ac:dyDescent="0.35">
      <c r="L5" s="56">
        <v>2</v>
      </c>
      <c r="M5" s="51" t="s">
        <v>68</v>
      </c>
      <c r="N5" s="50" t="s">
        <v>70</v>
      </c>
      <c r="O5" s="51" t="s">
        <v>74</v>
      </c>
      <c r="P5" s="51" t="s">
        <v>76</v>
      </c>
      <c r="Q5" s="50" t="s">
        <v>94</v>
      </c>
      <c r="R5" s="51" t="s">
        <v>65</v>
      </c>
      <c r="S5" s="52" t="s">
        <v>65</v>
      </c>
      <c r="T5" s="50"/>
      <c r="U5" s="50"/>
    </row>
    <row r="6" spans="12:21" ht="21.5" x14ac:dyDescent="0.35">
      <c r="L6" s="56"/>
      <c r="M6" s="53"/>
      <c r="N6" s="50"/>
      <c r="O6" s="50"/>
      <c r="P6" s="50"/>
      <c r="Q6" s="50"/>
      <c r="R6" s="50"/>
      <c r="S6" s="50"/>
      <c r="T6" s="54"/>
      <c r="U6" s="50"/>
    </row>
    <row r="7" spans="12:21" x14ac:dyDescent="0.35">
      <c r="L7" s="56"/>
      <c r="M7" s="50"/>
      <c r="N7" s="50"/>
      <c r="O7" s="50"/>
      <c r="P7" s="50"/>
      <c r="Q7" s="50"/>
      <c r="R7" s="50"/>
      <c r="S7" s="50"/>
      <c r="T7" s="54"/>
      <c r="U7" s="50"/>
    </row>
    <row r="8" spans="12:21" x14ac:dyDescent="0.35">
      <c r="L8" s="56"/>
      <c r="M8" s="50"/>
      <c r="N8" s="50"/>
      <c r="O8" s="50"/>
      <c r="P8" s="50"/>
      <c r="Q8" s="50"/>
      <c r="R8" s="50"/>
      <c r="S8" s="50"/>
      <c r="T8" s="50"/>
      <c r="U8" s="50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5177A-E277-46D3-9D97-EEDBC2A6D871}">
  <dimension ref="L3:W10"/>
  <sheetViews>
    <sheetView topLeftCell="F1" zoomScale="79" zoomScaleNormal="100" workbookViewId="0">
      <selection activeCell="K24" sqref="K24"/>
    </sheetView>
  </sheetViews>
  <sheetFormatPr defaultRowHeight="14.5" x14ac:dyDescent="0.35"/>
  <cols>
    <col min="12" max="12" width="8.7265625" style="57"/>
    <col min="13" max="13" width="26.90625" customWidth="1"/>
    <col min="14" max="14" width="8.453125" customWidth="1"/>
    <col min="15" max="15" width="45.81640625" customWidth="1"/>
    <col min="16" max="16" width="13.36328125" bestFit="1" customWidth="1"/>
    <col min="17" max="17" width="13.36328125" customWidth="1"/>
    <col min="18" max="18" width="16.81640625" customWidth="1"/>
    <col min="19" max="19" width="22.1796875" customWidth="1"/>
    <col min="20" max="20" width="29.81640625" customWidth="1"/>
    <col min="21" max="21" width="28.7265625" customWidth="1"/>
    <col min="22" max="22" width="15.7265625" customWidth="1"/>
  </cols>
  <sheetData>
    <row r="3" spans="12:23" x14ac:dyDescent="0.35">
      <c r="L3" s="55" t="s">
        <v>60</v>
      </c>
      <c r="M3" s="49" t="s">
        <v>77</v>
      </c>
      <c r="N3" s="49" t="s">
        <v>82</v>
      </c>
      <c r="O3" s="49" t="s">
        <v>25</v>
      </c>
      <c r="P3" s="49" t="s">
        <v>39</v>
      </c>
      <c r="Q3" s="49" t="s">
        <v>80</v>
      </c>
      <c r="R3" s="49" t="s">
        <v>33</v>
      </c>
      <c r="S3" s="49" t="s">
        <v>34</v>
      </c>
      <c r="T3" s="49" t="s">
        <v>62</v>
      </c>
      <c r="U3" s="49" t="s">
        <v>63</v>
      </c>
      <c r="V3" s="49" t="s">
        <v>64</v>
      </c>
      <c r="W3" s="50"/>
    </row>
    <row r="4" spans="12:23" ht="25" x14ac:dyDescent="0.35">
      <c r="L4" s="56">
        <v>1</v>
      </c>
      <c r="M4" s="51">
        <v>1212</v>
      </c>
      <c r="N4" s="51">
        <v>101</v>
      </c>
      <c r="O4" s="50" t="s">
        <v>78</v>
      </c>
      <c r="P4" s="51">
        <v>100</v>
      </c>
      <c r="Q4" s="51" t="s">
        <v>75</v>
      </c>
      <c r="R4" s="50" t="b">
        <v>1</v>
      </c>
      <c r="S4" s="50" t="b">
        <v>1</v>
      </c>
      <c r="T4" s="51" t="s">
        <v>65</v>
      </c>
      <c r="U4" s="52" t="s">
        <v>65</v>
      </c>
      <c r="V4" s="50"/>
      <c r="W4" s="50"/>
    </row>
    <row r="5" spans="12:23" ht="25" x14ac:dyDescent="0.35">
      <c r="L5" s="56">
        <v>2</v>
      </c>
      <c r="M5" s="51">
        <v>1313</v>
      </c>
      <c r="N5" s="51">
        <v>102</v>
      </c>
      <c r="O5" s="50" t="s">
        <v>79</v>
      </c>
      <c r="P5" s="51">
        <v>100</v>
      </c>
      <c r="Q5" s="51" t="s">
        <v>81</v>
      </c>
      <c r="R5" s="50" t="b">
        <v>0</v>
      </c>
      <c r="S5" s="50" t="b">
        <v>0</v>
      </c>
      <c r="T5" s="51" t="s">
        <v>65</v>
      </c>
      <c r="U5" s="52" t="s">
        <v>65</v>
      </c>
      <c r="V5" s="50"/>
      <c r="W5" s="50"/>
    </row>
    <row r="6" spans="12:23" ht="21.5" x14ac:dyDescent="0.35">
      <c r="L6" s="56"/>
      <c r="M6" s="53"/>
      <c r="N6" s="53"/>
      <c r="O6" s="29"/>
      <c r="P6" s="50"/>
      <c r="Q6" s="50"/>
      <c r="R6" s="50"/>
      <c r="S6" s="50"/>
      <c r="T6" s="50"/>
      <c r="U6" s="50"/>
      <c r="V6" s="54"/>
      <c r="W6" s="50"/>
    </row>
    <row r="7" spans="12:23" x14ac:dyDescent="0.35">
      <c r="L7" s="56"/>
      <c r="M7" s="50"/>
      <c r="N7" s="50"/>
      <c r="O7" s="29"/>
      <c r="P7" s="50"/>
      <c r="Q7" s="50"/>
      <c r="R7" s="50"/>
      <c r="S7" s="50"/>
      <c r="T7" s="50"/>
      <c r="U7" s="50"/>
      <c r="V7" s="54"/>
      <c r="W7" s="50"/>
    </row>
    <row r="8" spans="12:23" x14ac:dyDescent="0.35">
      <c r="L8" s="56"/>
      <c r="M8" s="50"/>
      <c r="N8" s="50"/>
      <c r="O8" s="29"/>
      <c r="P8" s="50"/>
      <c r="Q8" s="50"/>
      <c r="R8" s="50"/>
      <c r="S8" s="50"/>
      <c r="T8" s="50"/>
      <c r="U8" s="50"/>
      <c r="V8" s="50"/>
      <c r="W8" s="50"/>
    </row>
    <row r="9" spans="12:23" x14ac:dyDescent="0.35">
      <c r="O9" s="29"/>
    </row>
    <row r="10" spans="12:23" x14ac:dyDescent="0.35">
      <c r="O10" s="29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71868-64F8-4652-AA81-31C6A3853286}">
  <dimension ref="L3:U16"/>
  <sheetViews>
    <sheetView zoomScale="66" workbookViewId="0">
      <selection activeCell="M24" sqref="M24"/>
    </sheetView>
  </sheetViews>
  <sheetFormatPr defaultRowHeight="14.5" x14ac:dyDescent="0.35"/>
  <cols>
    <col min="12" max="12" width="8.7265625" style="57"/>
    <col min="13" max="13" width="26.90625" customWidth="1"/>
    <col min="14" max="16" width="20.81640625" customWidth="1"/>
    <col min="17" max="17" width="45.81640625" customWidth="1"/>
    <col min="18" max="18" width="29.81640625" customWidth="1"/>
    <col min="19" max="19" width="28.7265625" customWidth="1"/>
    <col min="20" max="20" width="15.7265625" customWidth="1"/>
  </cols>
  <sheetData>
    <row r="3" spans="12:21" x14ac:dyDescent="0.35">
      <c r="L3" s="55" t="s">
        <v>60</v>
      </c>
      <c r="M3" s="49" t="s">
        <v>77</v>
      </c>
      <c r="N3" s="49" t="s">
        <v>56</v>
      </c>
      <c r="O3" s="49" t="s">
        <v>86</v>
      </c>
      <c r="P3" s="49" t="s">
        <v>85</v>
      </c>
      <c r="Q3" s="49" t="s">
        <v>27</v>
      </c>
      <c r="R3" s="49" t="s">
        <v>62</v>
      </c>
      <c r="S3" s="49" t="s">
        <v>63</v>
      </c>
      <c r="T3" s="49" t="s">
        <v>64</v>
      </c>
      <c r="U3" s="50"/>
    </row>
    <row r="4" spans="12:21" ht="25" x14ac:dyDescent="0.35">
      <c r="L4" s="56">
        <v>1</v>
      </c>
      <c r="M4" s="51">
        <v>1212</v>
      </c>
      <c r="N4" s="51">
        <v>101</v>
      </c>
      <c r="O4" s="51" t="s">
        <v>67</v>
      </c>
      <c r="P4" s="51" t="s">
        <v>78</v>
      </c>
      <c r="Q4" s="50" t="s">
        <v>83</v>
      </c>
      <c r="R4" s="51" t="s">
        <v>65</v>
      </c>
      <c r="S4" s="52" t="s">
        <v>65</v>
      </c>
      <c r="T4" s="50"/>
      <c r="U4" s="50"/>
    </row>
    <row r="5" spans="12:21" ht="25" x14ac:dyDescent="0.35">
      <c r="L5" s="56">
        <v>2</v>
      </c>
      <c r="M5" s="51">
        <v>1313</v>
      </c>
      <c r="N5" s="51">
        <v>102</v>
      </c>
      <c r="O5" s="51" t="s">
        <v>87</v>
      </c>
      <c r="P5" s="51" t="s">
        <v>88</v>
      </c>
      <c r="Q5" s="50" t="s">
        <v>84</v>
      </c>
      <c r="R5" s="51" t="s">
        <v>65</v>
      </c>
      <c r="S5" s="52" t="s">
        <v>65</v>
      </c>
      <c r="T5" s="50"/>
      <c r="U5" s="50"/>
    </row>
    <row r="6" spans="12:21" ht="21.5" x14ac:dyDescent="0.35">
      <c r="L6" s="56"/>
      <c r="M6" s="53"/>
      <c r="N6" s="53"/>
      <c r="O6" s="53"/>
      <c r="P6" s="53"/>
      <c r="Q6" s="29"/>
      <c r="R6" s="50"/>
      <c r="S6" s="50"/>
      <c r="T6" s="54"/>
      <c r="U6" s="50"/>
    </row>
    <row r="7" spans="12:21" x14ac:dyDescent="0.35">
      <c r="L7" s="56"/>
      <c r="M7" s="50"/>
      <c r="N7" s="50"/>
      <c r="O7" s="50"/>
      <c r="P7" s="50"/>
      <c r="Q7" s="29"/>
      <c r="R7" s="50"/>
      <c r="S7" s="50"/>
      <c r="T7" s="54"/>
      <c r="U7" s="50"/>
    </row>
    <row r="8" spans="12:21" x14ac:dyDescent="0.35">
      <c r="L8" s="56"/>
      <c r="M8" s="50"/>
      <c r="N8" s="50"/>
      <c r="O8" s="50"/>
      <c r="P8" s="50"/>
      <c r="Q8" s="29"/>
      <c r="R8" s="50"/>
      <c r="S8" s="50"/>
      <c r="T8" s="50"/>
      <c r="U8" s="50"/>
    </row>
    <row r="9" spans="12:21" x14ac:dyDescent="0.35">
      <c r="Q9" s="29"/>
    </row>
    <row r="10" spans="12:21" x14ac:dyDescent="0.35">
      <c r="Q10" s="29"/>
    </row>
    <row r="14" spans="12:21" x14ac:dyDescent="0.35">
      <c r="L14"/>
    </row>
    <row r="15" spans="12:21" x14ac:dyDescent="0.35">
      <c r="L15"/>
    </row>
    <row r="16" spans="12:21" x14ac:dyDescent="0.35">
      <c r="L16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094EC-AA56-4524-A701-C216B966F5F4}">
  <dimension ref="E2:AF2"/>
  <sheetViews>
    <sheetView tabSelected="1" topLeftCell="T1" zoomScale="70" workbookViewId="0">
      <selection activeCell="AF33" sqref="AF33"/>
    </sheetView>
  </sheetViews>
  <sheetFormatPr defaultRowHeight="14.5" x14ac:dyDescent="0.35"/>
  <sheetData>
    <row r="2" spans="5:32" x14ac:dyDescent="0.35">
      <c r="E2" t="s">
        <v>90</v>
      </c>
      <c r="S2" t="s">
        <v>89</v>
      </c>
      <c r="AF2" t="s">
        <v>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GLOBAL_CONFIG</vt:lpstr>
      <vt:lpstr>EVENT</vt:lpstr>
      <vt:lpstr>Attendance</vt:lpstr>
      <vt:lpstr>DoorPrice</vt:lpstr>
      <vt:lpstr>CMS Event UI Mockup</vt:lpstr>
      <vt:lpstr>CMS Attendance Mockup</vt:lpstr>
      <vt:lpstr>CMS Doorprice Mockup</vt:lpstr>
      <vt:lpstr>UI Invitation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calvin putra</dc:creator>
  <cp:lastModifiedBy>calvin putra</cp:lastModifiedBy>
  <dcterms:created xsi:type="dcterms:W3CDTF">2025-12-04T04:12:23Z</dcterms:created>
  <dcterms:modified xsi:type="dcterms:W3CDTF">2025-12-05T03:02:24Z</dcterms:modified>
</cp:coreProperties>
</file>